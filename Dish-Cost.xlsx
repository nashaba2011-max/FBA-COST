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ST" sheetId="2" state="visible" r:id="rId4"/>
    <sheet name="Fool &amp; Cheese" sheetId="3" state="visible" r:id="rId5"/>
    <sheet name="Fasolya" sheetId="4" state="visible" r:id="rId6"/>
    <sheet name="S.Egg Bin Aqool" sheetId="5" state="visible" r:id="rId7"/>
    <sheet name="Egg Shakshoka" sheetId="6" state="visible" r:id="rId8"/>
    <sheet name="Egg Vegatable" sheetId="7" state="visible" r:id="rId9"/>
    <sheet name="Egg Makhalama" sheetId="8" state="visible" r:id="rId10"/>
    <sheet name="Egg Cheese" sheetId="9" state="visible" r:id="rId11"/>
    <sheet name="Egg Fried" sheetId="10" state="visible" r:id="rId12"/>
    <sheet name="Egg Eyoon" sheetId="11" state="visible" r:id="rId13"/>
    <sheet name="Egg &amp; Fasolya" sheetId="12" state="visible" r:id="rId14"/>
    <sheet name="Egg &amp; Tomato" sheetId="13" state="visible" r:id="rId15"/>
    <sheet name="Fool" sheetId="14" state="visible" r:id="rId16"/>
    <sheet name="Rice &amp; Chicken" sheetId="15" state="visible" r:id="rId17"/>
    <sheet name="Black Eye Beans" sheetId="16" state="visible" r:id="rId18"/>
    <sheet name="Nakhi" sheetId="17" state="visible" r:id="rId19"/>
    <sheet name="Dall" sheetId="18" state="visible" r:id="rId20"/>
    <sheet name="Bajela" sheetId="19" state="visible" r:id="rId21"/>
    <sheet name="Harees" sheetId="20" state="visible" r:id="rId22"/>
    <sheet name="Jareesh" sheetId="21" state="visible" r:id="rId23"/>
    <sheet name="Shilla" sheetId="22" state="visible" r:id="rId24"/>
    <sheet name="Madrooba" sheetId="23" state="visible" r:id="rId25"/>
    <sheet name="Beef Liver" sheetId="24" state="visible" r:id="rId26"/>
    <sheet name="Chicken Liver" sheetId="25" state="visible" r:id="rId27"/>
    <sheet name="Qeema Meat" sheetId="26" state="visible" r:id="rId28"/>
    <sheet name="Nashif Chicken" sheetId="27" state="visible" r:id="rId29"/>
    <sheet name="Nashif Meat" sheetId="28" state="visible" r:id="rId30"/>
    <sheet name="Aseeda" sheetId="29" state="visible" r:id="rId31"/>
    <sheet name="Qeemat" sheetId="30" state="visible" r:id="rId32"/>
    <sheet name="Balaleet" sheetId="31" state="visible" r:id="rId33"/>
    <sheet name="Fateeta" sheetId="32" state="visible" r:id="rId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<sst xmlns="http://schemas.openxmlformats.org/spreadsheetml/2006/main" count="1997" uniqueCount="215">
  <si>
    <t xml:space="preserve">Dish Cost — Summary</t>
  </si>
  <si>
    <t xml:space="preserve">Cost % = (ingredient cost per container + packaging) ÷ selling price. Prices exclude VAT; delivery app commission not included.</t>
  </si>
  <si>
    <t xml:space="preserve">Dish</t>
  </si>
  <si>
    <t xml:space="preserve">Section</t>
  </si>
  <si>
    <t xml:space="preserve">Single</t>
  </si>
  <si>
    <t xml:space="preserve">Small</t>
  </si>
  <si>
    <t xml:space="preserve">Medium</t>
  </si>
  <si>
    <t xml:space="preserve">Large</t>
  </si>
  <si>
    <t xml:space="preserve">Cost</t>
  </si>
  <si>
    <t xml:space="preserve">Store price</t>
  </si>
  <si>
    <t xml:space="preserve">Store %</t>
  </si>
  <si>
    <t xml:space="preserve">Delivery price</t>
  </si>
  <si>
    <t xml:space="preserve">Delivery %</t>
  </si>
  <si>
    <t xml:space="preserve">Fool &amp; Cheese</t>
  </si>
  <si>
    <t xml:space="preserve">Eggs &amp; fool</t>
  </si>
  <si>
    <t xml:space="preserve">Fasolya</t>
  </si>
  <si>
    <t xml:space="preserve">S.Egg Bin Aqool</t>
  </si>
  <si>
    <t xml:space="preserve">Egg Shakshoka</t>
  </si>
  <si>
    <t xml:space="preserve">Egg Vegatable</t>
  </si>
  <si>
    <t xml:space="preserve">Egg Makhalama</t>
  </si>
  <si>
    <t xml:space="preserve">Egg Cheese</t>
  </si>
  <si>
    <t xml:space="preserve">Egg Fried</t>
  </si>
  <si>
    <t xml:space="preserve">Egg Eyoon</t>
  </si>
  <si>
    <t xml:space="preserve">Egg &amp; Fasolya</t>
  </si>
  <si>
    <t xml:space="preserve">Egg &amp; Tomato</t>
  </si>
  <si>
    <t xml:space="preserve">Fool</t>
  </si>
  <si>
    <t xml:space="preserve">Rice &amp; Chicken</t>
  </si>
  <si>
    <t xml:space="preserve">Traditional</t>
  </si>
  <si>
    <t xml:space="preserve">Black Eye Beans</t>
  </si>
  <si>
    <t xml:space="preserve">Nakhi</t>
  </si>
  <si>
    <t xml:space="preserve">Dall</t>
  </si>
  <si>
    <t xml:space="preserve">Bajela</t>
  </si>
  <si>
    <t xml:space="preserve">Harees</t>
  </si>
  <si>
    <t xml:space="preserve">Jareesh</t>
  </si>
  <si>
    <t xml:space="preserve">Shilla</t>
  </si>
  <si>
    <t xml:space="preserve">Madrooba</t>
  </si>
  <si>
    <t xml:space="preserve">Beef Liver</t>
  </si>
  <si>
    <t xml:space="preserve">Main dishes</t>
  </si>
  <si>
    <t xml:space="preserve">Chicken Liver</t>
  </si>
  <si>
    <t xml:space="preserve">Qeema Meat</t>
  </si>
  <si>
    <t xml:space="preserve">Nashif Chicken</t>
  </si>
  <si>
    <t xml:space="preserve">Nashif Meat</t>
  </si>
  <si>
    <t xml:space="preserve">Aseeda</t>
  </si>
  <si>
    <t xml:space="preserve">Sweets</t>
  </si>
  <si>
    <t xml:space="preserve">Qeemat</t>
  </si>
  <si>
    <t xml:space="preserve">Balaleet</t>
  </si>
  <si>
    <t xml:space="preserve">Fateeta</t>
  </si>
  <si>
    <t xml:space="preserve">Sn</t>
  </si>
  <si>
    <t xml:space="preserve">Item</t>
  </si>
  <si>
    <t xml:space="preserve">Category</t>
  </si>
  <si>
    <t xml:space="preserve">Price (BHD)</t>
  </si>
  <si>
    <t xml:space="preserve">Pack qty</t>
  </si>
  <si>
    <t xml:space="preserve">Unit</t>
  </si>
  <si>
    <t xml:space="preserve">Unit price</t>
  </si>
  <si>
    <t xml:space="preserve">Previous price</t>
  </si>
  <si>
    <t xml:space="preserve">Market price</t>
  </si>
  <si>
    <t xml:space="preserve">Bagal Leaves</t>
  </si>
  <si>
    <t xml:space="preserve">Vegetables</t>
  </si>
  <si>
    <t xml:space="preserve">g</t>
  </si>
  <si>
    <t xml:space="preserve">Coriander Leaves</t>
  </si>
  <si>
    <t xml:space="preserve">Curry Leaves</t>
  </si>
  <si>
    <t xml:space="preserve">Cabbage White</t>
  </si>
  <si>
    <t xml:space="preserve">Cauliflower</t>
  </si>
  <si>
    <t xml:space="preserve">Carrot</t>
  </si>
  <si>
    <t xml:space="preserve">Cucuamber</t>
  </si>
  <si>
    <t xml:space="preserve">Dill Leaves</t>
  </si>
  <si>
    <t xml:space="preserve">Eggplant</t>
  </si>
  <si>
    <t xml:space="preserve">Garlic Peeled</t>
  </si>
  <si>
    <t xml:space="preserve">Green Capiscum</t>
  </si>
  <si>
    <t xml:space="preserve">Ginger + Garlic Mix</t>
  </si>
  <si>
    <t xml:space="preserve">Ginger</t>
  </si>
  <si>
    <t xml:space="preserve">Green Chilly</t>
  </si>
  <si>
    <t xml:space="preserve">Ice Burg Lettuce</t>
  </si>
  <si>
    <t xml:space="preserve">Lemon</t>
  </si>
  <si>
    <t xml:space="preserve">Long Chilly</t>
  </si>
  <si>
    <t xml:space="preserve">Mint Leaves</t>
  </si>
  <si>
    <t xml:space="preserve">Onion</t>
  </si>
  <si>
    <t xml:space="preserve">Okra</t>
  </si>
  <si>
    <t xml:space="preserve">Parsely Leaves</t>
  </si>
  <si>
    <t xml:space="preserve">Potato</t>
  </si>
  <si>
    <t xml:space="preserve">Spinach Leaves</t>
  </si>
  <si>
    <t xml:space="preserve">Tomato</t>
  </si>
  <si>
    <t xml:space="preserve">Beans &amp; grains</t>
  </si>
  <si>
    <t xml:space="preserve">Bagela</t>
  </si>
  <si>
    <t xml:space="preserve">ChickPeas</t>
  </si>
  <si>
    <t xml:space="preserve">Chana Dal</t>
  </si>
  <si>
    <t xml:space="preserve">Green lentils</t>
  </si>
  <si>
    <t xml:space="preserve">Masoor Daal</t>
  </si>
  <si>
    <t xml:space="preserve">Moong Dal</t>
  </si>
  <si>
    <t xml:space="preserve">Rice 1121</t>
  </si>
  <si>
    <t xml:space="preserve">Raison</t>
  </si>
  <si>
    <t xml:space="preserve">Rice Broken</t>
  </si>
  <si>
    <t xml:space="preserve">Sugar</t>
  </si>
  <si>
    <t xml:space="preserve">White Kidney Beans</t>
  </si>
  <si>
    <t xml:space="preserve">Black Pepper Seeds</t>
  </si>
  <si>
    <t xml:space="preserve">Spices</t>
  </si>
  <si>
    <t xml:space="preserve">Black Pepper Powder</t>
  </si>
  <si>
    <t xml:space="preserve">Black Lemone Powdre</t>
  </si>
  <si>
    <t xml:space="preserve">Black Lemone Whole</t>
  </si>
  <si>
    <t xml:space="preserve">Coriander Powder</t>
  </si>
  <si>
    <t xml:space="preserve">Curry Powder</t>
  </si>
  <si>
    <t xml:space="preserve">Cloves Seeds</t>
  </si>
  <si>
    <t xml:space="preserve">Cummin Powder</t>
  </si>
  <si>
    <t xml:space="preserve">Cummin Seeds</t>
  </si>
  <si>
    <t xml:space="preserve">Cinamon Stick</t>
  </si>
  <si>
    <t xml:space="preserve">Cinamon Powder</t>
  </si>
  <si>
    <t xml:space="preserve">Cardmon Seeds</t>
  </si>
  <si>
    <t xml:space="preserve">Cardmon Powder</t>
  </si>
  <si>
    <t xml:space="preserve">Mix Masala Powder</t>
  </si>
  <si>
    <t xml:space="preserve">Crushed Red Chilly</t>
  </si>
  <si>
    <t xml:space="preserve">Food Colour Yellow</t>
  </si>
  <si>
    <t xml:space="preserve">Food Colour Red</t>
  </si>
  <si>
    <t xml:space="preserve">Food Colour Red (1000g)</t>
  </si>
  <si>
    <t xml:space="preserve">Red Chilly Powder</t>
  </si>
  <si>
    <t xml:space="preserve">Round Red Chilly</t>
  </si>
  <si>
    <t xml:space="preserve">Salt</t>
  </si>
  <si>
    <t xml:space="preserve">Sem sem Seeds</t>
  </si>
  <si>
    <t xml:space="preserve">Turmeric Powder</t>
  </si>
  <si>
    <t xml:space="preserve">Tandori Masala Powder</t>
  </si>
  <si>
    <t xml:space="preserve">Frozen &amp; meat</t>
  </si>
  <si>
    <t xml:space="preserve">Beef Slice</t>
  </si>
  <si>
    <t xml:space="preserve">Meat Boby Vel</t>
  </si>
  <si>
    <t xml:space="preserve">Crispy Chcike</t>
  </si>
  <si>
    <t xml:space="preserve">Chicken Breast</t>
  </si>
  <si>
    <t xml:space="preserve">Full Chicken</t>
  </si>
  <si>
    <t xml:space="preserve">Minced Beef</t>
  </si>
  <si>
    <t xml:space="preserve">Annar Sause</t>
  </si>
  <si>
    <t xml:space="preserve">Grocery</t>
  </si>
  <si>
    <t xml:space="preserve">Butter</t>
  </si>
  <si>
    <t xml:space="preserve">Baking Powder</t>
  </si>
  <si>
    <t xml:space="preserve">Custard</t>
  </si>
  <si>
    <t xml:space="preserve">Cucuamber Pickel</t>
  </si>
  <si>
    <t xml:space="preserve">Egg</t>
  </si>
  <si>
    <t xml:space="preserve">pc</t>
  </si>
  <si>
    <t xml:space="preserve">Flour Brown</t>
  </si>
  <si>
    <t xml:space="preserve">Flour White</t>
  </si>
  <si>
    <t xml:space="preserve">Flour Kabab</t>
  </si>
  <si>
    <t xml:space="preserve">Flour Corn</t>
  </si>
  <si>
    <t xml:space="preserve">Baked Beans</t>
  </si>
  <si>
    <t xml:space="preserve">Green Peas Tin</t>
  </si>
  <si>
    <t xml:space="preserve">Green Peas (S.P)</t>
  </si>
  <si>
    <t xml:space="preserve">Karak Milk</t>
  </si>
  <si>
    <t xml:space="preserve">Kuwaiti Powder</t>
  </si>
  <si>
    <t xml:space="preserve">Lemon Lquid</t>
  </si>
  <si>
    <t xml:space="preserve">Milk</t>
  </si>
  <si>
    <t xml:space="preserve">Magi</t>
  </si>
  <si>
    <t xml:space="preserve">Mashroom</t>
  </si>
  <si>
    <t xml:space="preserve">Aseel Ghee</t>
  </si>
  <si>
    <t xml:space="preserve">ml</t>
  </si>
  <si>
    <t xml:space="preserve">Oil Corn</t>
  </si>
  <si>
    <t xml:space="preserve">Vegetable Oil</t>
  </si>
  <si>
    <t xml:space="preserve">Olive Oil</t>
  </si>
  <si>
    <t xml:space="preserve">Qeemat Powder</t>
  </si>
  <si>
    <t xml:space="preserve">Date Syrup</t>
  </si>
  <si>
    <t xml:space="preserve">Rose Water + Safroon</t>
  </si>
  <si>
    <t xml:space="preserve">Rose Water</t>
  </si>
  <si>
    <t xml:space="preserve">Sago</t>
  </si>
  <si>
    <t xml:space="preserve">Safroon</t>
  </si>
  <si>
    <t xml:space="preserve">Sambosa Pepper</t>
  </si>
  <si>
    <t xml:space="preserve">Saboosa</t>
  </si>
  <si>
    <t xml:space="preserve">Sodium Bicarbonate</t>
  </si>
  <si>
    <t xml:space="preserve">Tahina</t>
  </si>
  <si>
    <t xml:space="preserve">Tea</t>
  </si>
  <si>
    <t xml:space="preserve">Tea Bag</t>
  </si>
  <si>
    <t xml:space="preserve">Tomato Paste</t>
  </si>
  <si>
    <t xml:space="preserve">Yest Powdre</t>
  </si>
  <si>
    <t xml:space="preserve">Vinger</t>
  </si>
  <si>
    <t xml:space="preserve">Cheddar Cheese</t>
  </si>
  <si>
    <t xml:space="preserve">Date Paste</t>
  </si>
  <si>
    <t xml:space="preserve">MACARONI</t>
  </si>
  <si>
    <t xml:space="preserve">Nahai</t>
  </si>
  <si>
    <t xml:space="preserve">HASHOO</t>
  </si>
  <si>
    <t xml:space="preserve">MABOOJ + DAQOOS</t>
  </si>
  <si>
    <t xml:space="preserve">SPOON</t>
  </si>
  <si>
    <t xml:space="preserve">Packaging &amp; extras</t>
  </si>
  <si>
    <t xml:space="preserve">CONTENER NO : (1)</t>
  </si>
  <si>
    <t xml:space="preserve">CONTENER NO : (3)</t>
  </si>
  <si>
    <t xml:space="preserve">CONTENER NO : (4)</t>
  </si>
  <si>
    <t xml:space="preserve">CONTENER NO : (5)</t>
  </si>
  <si>
    <t xml:space="preserve">Alluminium Container S</t>
  </si>
  <si>
    <t xml:space="preserve">Alluminium Container M</t>
  </si>
  <si>
    <t xml:space="preserve">Alluminium Container L</t>
  </si>
  <si>
    <t xml:space="preserve">Bread</t>
  </si>
  <si>
    <t xml:space="preserve">Bag Small</t>
  </si>
  <si>
    <t xml:space="preserve">Bag Medium</t>
  </si>
  <si>
    <t xml:space="preserve">Bag Large</t>
  </si>
  <si>
    <t xml:space="preserve">Bag XS</t>
  </si>
  <si>
    <t xml:space="preserve">Blue cells are inputs: change a price here and every dish sheet recalculates.</t>
  </si>
  <si>
    <t xml:space="preserve">Eggs &amp; fool · one container takes several recipes · target 25%</t>
  </si>
  <si>
    <t xml:space="preserve">#</t>
  </si>
  <si>
    <t xml:space="preserve">Qty</t>
  </si>
  <si>
    <t xml:space="preserve">TOTAL RECIPE COST</t>
  </si>
  <si>
    <t xml:space="preserve">Size</t>
  </si>
  <si>
    <t xml:space="preserve">Recipes per container</t>
  </si>
  <si>
    <t xml:space="preserve">Ingredient cost</t>
  </si>
  <si>
    <t xml:space="preserve">Container</t>
  </si>
  <si>
    <t xml:space="preserve">Container cost</t>
  </si>
  <si>
    <t xml:space="preserve">Spoons (qty)</t>
  </si>
  <si>
    <t xml:space="preserve">Spoon cost</t>
  </si>
  <si>
    <t xml:space="preserve">Bread (qty)</t>
  </si>
  <si>
    <t xml:space="preserve">Bread cost</t>
  </si>
  <si>
    <t xml:space="preserve">Bag</t>
  </si>
  <si>
    <t xml:space="preserve">Bag cost</t>
  </si>
  <si>
    <t xml:space="preserve">Other costs</t>
  </si>
  <si>
    <t xml:space="preserve">Packaging total</t>
  </si>
  <si>
    <t xml:space="preserve">TOTAL COST</t>
  </si>
  <si>
    <t xml:space="preserve">Store cost %</t>
  </si>
  <si>
    <t xml:space="preserve">Delivery cost %</t>
  </si>
  <si>
    <t xml:space="preserve">Store profit</t>
  </si>
  <si>
    <t xml:space="preserve">Delivery profit</t>
  </si>
  <si>
    <t xml:space="preserve">Eggs &amp; fool · one container takes several recipes · target 30%</t>
  </si>
  <si>
    <t xml:space="preserve">Traditional · one recipe fills several containers · target 30%</t>
  </si>
  <si>
    <t xml:space="preserve">Containers per recipe</t>
  </si>
  <si>
    <t xml:space="preserve">Main dishes · one recipe fills several containers · target 30%</t>
  </si>
  <si>
    <t xml:space="preserve">Sweets · one recipe fills several containers · target 30%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</si>
</sst>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5B686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B6862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1ECFA"/>
        <bgColor rgb="FFE7F0FA"/>
      </patternFill>
    </fill>
    <fill>
      <patternFill patternType="solid">
        <fgColor rgb="FFE7F0FA"/>
        <bgColor rgb="FFF1ECFA"/>
      </patternFill>
    </fill>
    <fill>
      <patternFill patternType="solid">
        <fgColor rgb="FFFFF0C4"/>
        <bgColor rgb="FFFFDCD3"/>
      </patternFill>
    </fill>
    <fill>
      <patternFill patternType="solid">
        <fgColor rgb="FFFFDCD3"/>
        <bgColor rgb="FFFFF0C4"/>
      </patternFill>
    </fill>
    <fill>
      <patternFill patternType="solid">
        <fgColor rgb="FF22574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C4"/>
      <rgbColor rgb="FFE7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CFA"/>
      <rgbColor rgb="FFCCFFCC"/>
      <rgbColor rgb="FFFFFF99"/>
      <rgbColor rgb="FF99CCFF"/>
      <rgbColor rgb="FFFF99CC"/>
      <rgbColor rgb="FFCC99FF"/>
      <rgbColor rgb="FFFFDCD3"/>
      <rgbColor rgb="FF3366FF"/>
      <rgbColor rgb="FF33CCCC"/>
      <rgbColor rgb="FF99CC00"/>
      <rgbColor rgb="FFFFCC00"/>
      <rgbColor rgb="FFFF9900"/>
      <rgbColor rgb="FFFF6600"/>
      <rgbColor rgb="FF5B68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57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22" min="3" style="0" width="11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4" t="s">
        <v>2</v>
      </c>
      <c r="B4" s="4" t="s">
        <v>3</v>
      </c>
      <c r="C4" s="5" t="s">
        <v>4</v>
      </c>
      <c r="D4" s="5"/>
      <c r="E4" s="5"/>
      <c r="F4" s="5"/>
      <c r="G4" s="5"/>
      <c r="H4" s="6" t="s">
        <v>5</v>
      </c>
      <c r="I4" s="6"/>
      <c r="J4" s="6"/>
      <c r="K4" s="6"/>
      <c r="L4" s="6"/>
      <c r="M4" s="7" t="s">
        <v>6</v>
      </c>
      <c r="N4" s="7"/>
      <c r="O4" s="7"/>
      <c r="P4" s="7"/>
      <c r="Q4" s="7"/>
      <c r="R4" s="8" t="s">
        <v>7</v>
      </c>
      <c r="S4" s="8"/>
      <c r="T4" s="8"/>
      <c r="U4" s="8"/>
      <c r="V4" s="8"/>
    </row>
    <row r="5" customFormat="false" ht="15" hidden="false" customHeight="false" outlineLevel="0" collapsed="false">
      <c r="A5" s="2"/>
      <c r="B5" s="2"/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10" t="s">
        <v>8</v>
      </c>
      <c r="I5" s="10" t="s">
        <v>9</v>
      </c>
      <c r="J5" s="10" t="s">
        <v>10</v>
      </c>
      <c r="K5" s="10" t="s">
        <v>11</v>
      </c>
      <c r="L5" s="10" t="s">
        <v>12</v>
      </c>
      <c r="M5" s="11" t="s">
        <v>8</v>
      </c>
      <c r="N5" s="11" t="s">
        <v>9</v>
      </c>
      <c r="O5" s="11" t="s">
        <v>10</v>
      </c>
      <c r="P5" s="11" t="s">
        <v>11</v>
      </c>
      <c r="Q5" s="11" t="s">
        <v>12</v>
      </c>
      <c r="R5" s="12" t="s">
        <v>8</v>
      </c>
      <c r="S5" s="12" t="s">
        <v>9</v>
      </c>
      <c r="T5" s="12" t="s">
        <v>10</v>
      </c>
      <c r="U5" s="12" t="s">
        <v>11</v>
      </c>
      <c r="V5" s="12" t="s">
        <v>12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/>
      <c r="D6" s="2"/>
      <c r="E6" s="2"/>
      <c r="F6" s="2"/>
      <c r="G6" s="2"/>
      <c r="H6" s="13" t="n">
        <f aca="false">'Fool &amp; Cheese'!C34</f>
        <v>0.456208462269756</v>
      </c>
      <c r="I6" s="13" t="n">
        <f aca="false">'Fool &amp; Cheese'!C35</f>
        <v>1.5</v>
      </c>
      <c r="J6" s="14" t="n">
        <f aca="false">'Fool &amp; Cheese'!C36</f>
        <v>0.304138974846504</v>
      </c>
      <c r="K6" s="13" t="n">
        <f aca="false">IF('Fool &amp; Cheese'!C37="","",'Fool &amp; Cheese'!C37)</f>
        <v>1.9</v>
      </c>
      <c r="L6" s="14" t="n">
        <f aca="false">'Fool &amp; Cheese'!C38</f>
        <v>0.240109716984082</v>
      </c>
      <c r="M6" s="13" t="n">
        <f aca="false">'Fool &amp; Cheese'!D34</f>
        <v>0.891916924539513</v>
      </c>
      <c r="N6" s="13" t="n">
        <f aca="false">'Fool &amp; Cheese'!D35</f>
        <v>2.8</v>
      </c>
      <c r="O6" s="14" t="n">
        <f aca="false">'Fool &amp; Cheese'!D36</f>
        <v>0.318541758764112</v>
      </c>
      <c r="P6" s="13" t="n">
        <f aca="false">IF('Fool &amp; Cheese'!D37="","",'Fool &amp; Cheese'!D37)</f>
        <v>3.4</v>
      </c>
      <c r="Q6" s="14" t="n">
        <f aca="false">'Fool &amp; Cheese'!D38</f>
        <v>0.262328507217504</v>
      </c>
      <c r="R6" s="13" t="n">
        <f aca="false">'Fool &amp; Cheese'!E34</f>
        <v>1.81110051574569</v>
      </c>
      <c r="S6" s="13" t="n">
        <f aca="false">'Fool &amp; Cheese'!E35</f>
        <v>5.4</v>
      </c>
      <c r="T6" s="14" t="n">
        <f aca="false">'Fool &amp; Cheese'!E36</f>
        <v>0.33538898439735</v>
      </c>
      <c r="U6" s="13" t="n">
        <f aca="false">IF('Fool &amp; Cheese'!E37="","",'Fool &amp; Cheese'!E37)</f>
        <v>6.4</v>
      </c>
      <c r="V6" s="14" t="n">
        <f aca="false">'Fool &amp; Cheese'!E38</f>
        <v>0.282984455585264</v>
      </c>
    </row>
    <row r="7" customFormat="false" ht="15" hidden="false" customHeight="false" outlineLevel="0" collapsed="false">
      <c r="A7" s="2" t="s">
        <v>15</v>
      </c>
      <c r="B7" s="2" t="s">
        <v>14</v>
      </c>
      <c r="C7" s="2"/>
      <c r="D7" s="2"/>
      <c r="E7" s="2"/>
      <c r="F7" s="2"/>
      <c r="G7" s="2"/>
      <c r="H7" s="13" t="n">
        <f aca="false">Fasolya!C34</f>
        <v>0.409065978609626</v>
      </c>
      <c r="I7" s="13" t="n">
        <f aca="false">Fasolya!C35</f>
        <v>1.3</v>
      </c>
      <c r="J7" s="14" t="n">
        <f aca="false">Fasolya!C36</f>
        <v>0.31466613739202</v>
      </c>
      <c r="K7" s="13" t="n">
        <f aca="false">IF(Fasolya!C37="","",Fasolya!C37)</f>
        <v>1.7</v>
      </c>
      <c r="L7" s="14" t="n">
        <f aca="false">Fasolya!C38</f>
        <v>0.240627046240956</v>
      </c>
      <c r="M7" s="13" t="n">
        <f aca="false">Fasolya!D34</f>
        <v>0.797631957219251</v>
      </c>
      <c r="N7" s="13" t="n">
        <f aca="false">Fasolya!D35</f>
        <v>2.4</v>
      </c>
      <c r="O7" s="14" t="n">
        <f aca="false">Fasolya!D36</f>
        <v>0.332346648841355</v>
      </c>
      <c r="P7" s="13" t="n">
        <f aca="false">IF(Fasolya!D37="","",Fasolya!D37)</f>
        <v>3</v>
      </c>
      <c r="Q7" s="14" t="n">
        <f aca="false">Fasolya!D38</f>
        <v>0.265877319073084</v>
      </c>
      <c r="R7" s="13" t="n">
        <f aca="false">Fasolya!E34</f>
        <v>1.62253058110517</v>
      </c>
      <c r="S7" s="13" t="n">
        <f aca="false">Fasolya!E35</f>
        <v>4.6</v>
      </c>
      <c r="T7" s="14" t="n">
        <f aca="false">Fasolya!E36</f>
        <v>0.352724039370689</v>
      </c>
      <c r="U7" s="13" t="n">
        <f aca="false">IF(Fasolya!E37="","",Fasolya!E37)</f>
        <v>5.6</v>
      </c>
      <c r="V7" s="14" t="n">
        <f aca="false">Fasolya!E38</f>
        <v>0.28973760376878</v>
      </c>
    </row>
    <row r="8" customFormat="false" ht="15" hidden="false" customHeight="false" outlineLevel="0" collapsed="false">
      <c r="A8" s="2" t="s">
        <v>16</v>
      </c>
      <c r="B8" s="2" t="s">
        <v>14</v>
      </c>
      <c r="C8" s="2"/>
      <c r="D8" s="2"/>
      <c r="E8" s="2"/>
      <c r="F8" s="2"/>
      <c r="G8" s="2"/>
      <c r="H8" s="13" t="n">
        <f aca="false">'S.Egg Bin Aqool'!C37</f>
        <v>0.439098705882353</v>
      </c>
      <c r="I8" s="13" t="n">
        <f aca="false">'S.Egg Bin Aqool'!C38</f>
        <v>1.6</v>
      </c>
      <c r="J8" s="14" t="n">
        <f aca="false">'S.Egg Bin Aqool'!C39</f>
        <v>0.274436691176471</v>
      </c>
      <c r="K8" s="13" t="n">
        <f aca="false">IF('S.Egg Bin Aqool'!C40="","",'S.Egg Bin Aqool'!C40)</f>
        <v>2</v>
      </c>
      <c r="L8" s="14" t="n">
        <f aca="false">'S.Egg Bin Aqool'!C41</f>
        <v>0.219549352941176</v>
      </c>
      <c r="M8" s="13" t="n">
        <f aca="false">'S.Egg Bin Aqool'!D37</f>
        <v>0.857697411764706</v>
      </c>
      <c r="N8" s="13" t="n">
        <f aca="false">'S.Egg Bin Aqool'!D38</f>
        <v>3</v>
      </c>
      <c r="O8" s="14" t="n">
        <f aca="false">'S.Egg Bin Aqool'!D39</f>
        <v>0.285899137254902</v>
      </c>
      <c r="P8" s="13" t="n">
        <f aca="false">IF('S.Egg Bin Aqool'!D40="","",'S.Egg Bin Aqool'!D40)</f>
        <v>3.6</v>
      </c>
      <c r="Q8" s="14" t="n">
        <f aca="false">'S.Egg Bin Aqool'!D41</f>
        <v>0.238249281045752</v>
      </c>
      <c r="R8" s="13" t="n">
        <f aca="false">'S.Egg Bin Aqool'!E37</f>
        <v>1.74266149019608</v>
      </c>
      <c r="S8" s="13" t="n">
        <f aca="false">'S.Egg Bin Aqool'!E38</f>
        <v>5.6</v>
      </c>
      <c r="T8" s="14" t="n">
        <f aca="false">'S.Egg Bin Aqool'!E39</f>
        <v>0.311189551820728</v>
      </c>
      <c r="U8" s="13" t="n">
        <f aca="false">IF('S.Egg Bin Aqool'!E40="","",'S.Egg Bin Aqool'!E40)</f>
        <v>6.8</v>
      </c>
      <c r="V8" s="14" t="n">
        <f aca="false">'S.Egg Bin Aqool'!E41</f>
        <v>0.256273748558247</v>
      </c>
    </row>
    <row r="9" customFormat="false" ht="15" hidden="false" customHeight="false" outlineLevel="0" collapsed="false">
      <c r="A9" s="2" t="s">
        <v>17</v>
      </c>
      <c r="B9" s="2" t="s">
        <v>14</v>
      </c>
      <c r="C9" s="2"/>
      <c r="D9" s="2"/>
      <c r="E9" s="2"/>
      <c r="F9" s="2"/>
      <c r="G9" s="2"/>
      <c r="H9" s="13" t="n">
        <f aca="false">'Egg Shakshoka'!C31</f>
        <v>0.256715795454545</v>
      </c>
      <c r="I9" s="13" t="n">
        <f aca="false">'Egg Shakshoka'!C32</f>
        <v>1.2</v>
      </c>
      <c r="J9" s="14" t="n">
        <f aca="false">'Egg Shakshoka'!C33</f>
        <v>0.213929829545455</v>
      </c>
      <c r="K9" s="13" t="n">
        <f aca="false">IF('Egg Shakshoka'!C34="","",'Egg Shakshoka'!C34)</f>
        <v>1.6</v>
      </c>
      <c r="L9" s="14" t="n">
        <f aca="false">'Egg Shakshoka'!C35</f>
        <v>0.160447372159091</v>
      </c>
      <c r="M9" s="13" t="n">
        <f aca="false">'Egg Shakshoka'!D31</f>
        <v>0.492931590909091</v>
      </c>
      <c r="N9" s="13" t="n">
        <f aca="false">'Egg Shakshoka'!D32</f>
        <v>2.2</v>
      </c>
      <c r="O9" s="14" t="n">
        <f aca="false">'Egg Shakshoka'!D33</f>
        <v>0.224059814049587</v>
      </c>
      <c r="P9" s="13" t="n">
        <f aca="false">IF('Egg Shakshoka'!D34="","",'Egg Shakshoka'!D34)</f>
        <v>2.8</v>
      </c>
      <c r="Q9" s="14" t="n">
        <f aca="false">'Egg Shakshoka'!D35</f>
        <v>0.176046996753247</v>
      </c>
      <c r="R9" s="13" t="n">
        <f aca="false">'Egg Shakshoka'!E31</f>
        <v>1.01312984848485</v>
      </c>
      <c r="S9" s="13" t="n">
        <f aca="false">'Egg Shakshoka'!E32</f>
        <v>4.2</v>
      </c>
      <c r="T9" s="14" t="n">
        <f aca="false">'Egg Shakshoka'!E33</f>
        <v>0.241221392496393</v>
      </c>
      <c r="U9" s="13" t="n">
        <f aca="false">IF('Egg Shakshoka'!E34="","",'Egg Shakshoka'!E34)</f>
        <v>5</v>
      </c>
      <c r="V9" s="14" t="n">
        <f aca="false">'Egg Shakshoka'!E35</f>
        <v>0.20262596969697</v>
      </c>
    </row>
    <row r="10" customFormat="false" ht="15" hidden="false" customHeight="false" outlineLevel="0" collapsed="false">
      <c r="A10" s="2" t="s">
        <v>18</v>
      </c>
      <c r="B10" s="2" t="s">
        <v>14</v>
      </c>
      <c r="C10" s="2"/>
      <c r="D10" s="2"/>
      <c r="E10" s="2"/>
      <c r="F10" s="2"/>
      <c r="G10" s="2"/>
      <c r="H10" s="13" t="n">
        <f aca="false">'Egg Vegatable'!C34</f>
        <v>0.273028645454545</v>
      </c>
      <c r="I10" s="13" t="n">
        <f aca="false">'Egg Vegatable'!C35</f>
        <v>1.2</v>
      </c>
      <c r="J10" s="14" t="n">
        <f aca="false">'Egg Vegatable'!C36</f>
        <v>0.227523871212121</v>
      </c>
      <c r="K10" s="13" t="n">
        <f aca="false">IF('Egg Vegatable'!C37="","",'Egg Vegatable'!C37)</f>
        <v>1.6</v>
      </c>
      <c r="L10" s="14" t="n">
        <f aca="false">'Egg Vegatable'!C38</f>
        <v>0.170642903409091</v>
      </c>
      <c r="M10" s="13" t="n">
        <f aca="false">'Egg Vegatable'!D34</f>
        <v>0.525557290909091</v>
      </c>
      <c r="N10" s="13" t="n">
        <f aca="false">'Egg Vegatable'!D35</f>
        <v>2.2</v>
      </c>
      <c r="O10" s="14" t="n">
        <f aca="false">'Egg Vegatable'!D36</f>
        <v>0.23888967768595</v>
      </c>
      <c r="P10" s="13" t="n">
        <f aca="false">IF('Egg Vegatable'!D37="","",'Egg Vegatable'!D37)</f>
        <v>2.8</v>
      </c>
      <c r="Q10" s="14" t="n">
        <f aca="false">'Egg Vegatable'!D38</f>
        <v>0.187699032467532</v>
      </c>
      <c r="R10" s="13" t="n">
        <f aca="false">'Egg Vegatable'!E34</f>
        <v>1.07838124848485</v>
      </c>
      <c r="S10" s="13" t="n">
        <f aca="false">'Egg Vegatable'!E35</f>
        <v>4.2</v>
      </c>
      <c r="T10" s="14" t="n">
        <f aca="false">'Egg Vegatable'!E36</f>
        <v>0.25675744011544</v>
      </c>
      <c r="U10" s="13" t="n">
        <f aca="false">IF('Egg Vegatable'!E37="","",'Egg Vegatable'!E37)</f>
        <v>5</v>
      </c>
      <c r="V10" s="14" t="n">
        <f aca="false">'Egg Vegatable'!E38</f>
        <v>0.21567624969697</v>
      </c>
    </row>
    <row r="11" customFormat="false" ht="15" hidden="false" customHeight="false" outlineLevel="0" collapsed="false">
      <c r="A11" s="2" t="s">
        <v>19</v>
      </c>
      <c r="B11" s="2" t="s">
        <v>14</v>
      </c>
      <c r="C11" s="2"/>
      <c r="D11" s="2"/>
      <c r="E11" s="2"/>
      <c r="F11" s="2"/>
      <c r="G11" s="2"/>
      <c r="H11" s="13" t="n">
        <f aca="false">'Egg Makhalama'!C34</f>
        <v>0.276819145454545</v>
      </c>
      <c r="I11" s="13" t="n">
        <f aca="false">'Egg Makhalama'!C35</f>
        <v>1.4</v>
      </c>
      <c r="J11" s="14" t="n">
        <f aca="false">'Egg Makhalama'!C36</f>
        <v>0.197727961038961</v>
      </c>
      <c r="K11" s="13" t="n">
        <f aca="false">IF('Egg Makhalama'!C37="","",'Egg Makhalama'!C37)</f>
        <v>1.85</v>
      </c>
      <c r="L11" s="14" t="n">
        <f aca="false">'Egg Makhalama'!C38</f>
        <v>0.149631970515971</v>
      </c>
      <c r="M11" s="13" t="n">
        <f aca="false">'Egg Makhalama'!D34</f>
        <v>0.543378290909091</v>
      </c>
      <c r="N11" s="13" t="n">
        <f aca="false">'Egg Makhalama'!D35</f>
        <v>2.6</v>
      </c>
      <c r="O11" s="14" t="n">
        <f aca="false">'Egg Makhalama'!D36</f>
        <v>0.20899165034965</v>
      </c>
      <c r="P11" s="13" t="n">
        <f aca="false">IF('Egg Makhalama'!D37="","",'Egg Makhalama'!D37)</f>
        <v>3.2</v>
      </c>
      <c r="Q11" s="14" t="n">
        <f aca="false">'Egg Makhalama'!D38</f>
        <v>0.169805715909091</v>
      </c>
      <c r="R11" s="13" t="n">
        <f aca="false">'Egg Makhalama'!E34</f>
        <v>1.10122324848485</v>
      </c>
      <c r="S11" s="13" t="n">
        <f aca="false">'Egg Makhalama'!E35</f>
        <v>5</v>
      </c>
      <c r="T11" s="14" t="n">
        <f aca="false">'Egg Makhalama'!E36</f>
        <v>0.22024464969697</v>
      </c>
      <c r="U11" s="13" t="n">
        <f aca="false">IF('Egg Makhalama'!E37="","",'Egg Makhalama'!E37)</f>
        <v>6</v>
      </c>
      <c r="V11" s="14" t="n">
        <f aca="false">'Egg Makhalama'!E38</f>
        <v>0.183537208080808</v>
      </c>
    </row>
    <row r="12" customFormat="false" ht="15" hidden="false" customHeight="false" outlineLevel="0" collapsed="false">
      <c r="A12" s="2" t="s">
        <v>20</v>
      </c>
      <c r="B12" s="2" t="s">
        <v>14</v>
      </c>
      <c r="C12" s="2"/>
      <c r="D12" s="2"/>
      <c r="E12" s="2"/>
      <c r="F12" s="2"/>
      <c r="G12" s="2"/>
      <c r="H12" s="13" t="n">
        <f aca="false">'Egg Cheese'!C23</f>
        <v>0.338898235294118</v>
      </c>
      <c r="I12" s="13" t="n">
        <f aca="false">'Egg Cheese'!C24</f>
        <v>1.3</v>
      </c>
      <c r="J12" s="14" t="n">
        <f aca="false">'Egg Cheese'!C25</f>
        <v>0.260690950226244</v>
      </c>
      <c r="K12" s="13" t="n">
        <f aca="false">IF('Egg Cheese'!C26="","",'Egg Cheese'!C26)</f>
        <v>1.7</v>
      </c>
      <c r="L12" s="14" t="n">
        <f aca="false">'Egg Cheese'!C27</f>
        <v>0.199351903114187</v>
      </c>
      <c r="M12" s="13" t="n">
        <f aca="false">'Egg Cheese'!D23</f>
        <v>0.657296470588235</v>
      </c>
      <c r="N12" s="13" t="n">
        <f aca="false">'Egg Cheese'!D24</f>
        <v>2.4</v>
      </c>
      <c r="O12" s="14" t="n">
        <f aca="false">'Egg Cheese'!D25</f>
        <v>0.273873529411765</v>
      </c>
      <c r="P12" s="13" t="n">
        <f aca="false">IF('Egg Cheese'!D26="","",'Egg Cheese'!D26)</f>
        <v>3</v>
      </c>
      <c r="Q12" s="14" t="n">
        <f aca="false">'Egg Cheese'!D27</f>
        <v>0.219098823529412</v>
      </c>
      <c r="R12" s="13" t="n">
        <f aca="false">'Egg Cheese'!E23</f>
        <v>1.34185960784314</v>
      </c>
      <c r="S12" s="13" t="n">
        <f aca="false">'Egg Cheese'!E24</f>
        <v>4.6</v>
      </c>
      <c r="T12" s="14" t="n">
        <f aca="false">'Egg Cheese'!E25</f>
        <v>0.291708610400682</v>
      </c>
      <c r="U12" s="13" t="n">
        <f aca="false">IF('Egg Cheese'!E26="","",'Egg Cheese'!E26)</f>
        <v>5.6</v>
      </c>
      <c r="V12" s="14" t="n">
        <f aca="false">'Egg Cheese'!E27</f>
        <v>0.239617787114846</v>
      </c>
    </row>
    <row r="13" customFormat="false" ht="15" hidden="false" customHeight="false" outlineLevel="0" collapsed="false">
      <c r="A13" s="2" t="s">
        <v>21</v>
      </c>
      <c r="B13" s="2" t="s">
        <v>14</v>
      </c>
      <c r="C13" s="2"/>
      <c r="D13" s="2"/>
      <c r="E13" s="2"/>
      <c r="F13" s="2"/>
      <c r="G13" s="2"/>
      <c r="H13" s="13" t="n">
        <f aca="false">'Egg Fried'!C22</f>
        <v>0.21722</v>
      </c>
      <c r="I13" s="13" t="n">
        <f aca="false">'Egg Fried'!C23</f>
        <v>0.9</v>
      </c>
      <c r="J13" s="14" t="n">
        <f aca="false">'Egg Fried'!C24</f>
        <v>0.241355555555556</v>
      </c>
      <c r="K13" s="13" t="n">
        <f aca="false">IF('Egg Fried'!C25="","",'Egg Fried'!C25)</f>
        <v>1.2</v>
      </c>
      <c r="L13" s="14" t="n">
        <f aca="false">'Egg Fried'!C26</f>
        <v>0.181016666666667</v>
      </c>
      <c r="M13" s="13" t="n">
        <f aca="false">'Egg Fried'!D22</f>
        <v>0.41394</v>
      </c>
      <c r="N13" s="13" t="n">
        <f aca="false">'Egg Fried'!D23</f>
        <v>1.7</v>
      </c>
      <c r="O13" s="14" t="n">
        <f aca="false">'Egg Fried'!D24</f>
        <v>0.243494117647059</v>
      </c>
      <c r="P13" s="13" t="n">
        <f aca="false">IF('Egg Fried'!D25="","",'Egg Fried'!D25)</f>
        <v>2.2</v>
      </c>
      <c r="Q13" s="14" t="n">
        <f aca="false">'Egg Fried'!D26</f>
        <v>0.188154545454545</v>
      </c>
      <c r="R13" s="13" t="n">
        <f aca="false">'Egg Fried'!E22</f>
        <v>0.855146666666667</v>
      </c>
      <c r="S13" s="13" t="n">
        <f aca="false">'Egg Fried'!E23</f>
        <v>3.3</v>
      </c>
      <c r="T13" s="14" t="n">
        <f aca="false">'Egg Fried'!E24</f>
        <v>0.259135353535354</v>
      </c>
      <c r="U13" s="13" t="n">
        <f aca="false">IF('Egg Fried'!E25="","",'Egg Fried'!E25)</f>
        <v>3.8</v>
      </c>
      <c r="V13" s="14" t="n">
        <f aca="false">'Egg Fried'!E26</f>
        <v>0.225038596491228</v>
      </c>
    </row>
    <row r="14" customFormat="false" ht="15" hidden="false" customHeight="false" outlineLevel="0" collapsed="false">
      <c r="A14" s="2" t="s">
        <v>22</v>
      </c>
      <c r="B14" s="2" t="s">
        <v>14</v>
      </c>
      <c r="C14" s="2"/>
      <c r="D14" s="2"/>
      <c r="E14" s="2"/>
      <c r="F14" s="2"/>
      <c r="G14" s="2"/>
      <c r="H14" s="13" t="n">
        <f aca="false">'Egg Eyoon'!C22</f>
        <v>0.21722</v>
      </c>
      <c r="I14" s="13" t="n">
        <f aca="false">'Egg Eyoon'!C23</f>
        <v>0.9</v>
      </c>
      <c r="J14" s="14" t="n">
        <f aca="false">'Egg Eyoon'!C24</f>
        <v>0.241355555555556</v>
      </c>
      <c r="K14" s="13" t="n">
        <f aca="false">IF('Egg Eyoon'!C25="","",'Egg Eyoon'!C25)</f>
        <v>1.2</v>
      </c>
      <c r="L14" s="14" t="n">
        <f aca="false">'Egg Eyoon'!C26</f>
        <v>0.181016666666667</v>
      </c>
      <c r="M14" s="13" t="n">
        <f aca="false">'Egg Eyoon'!D22</f>
        <v>0.41394</v>
      </c>
      <c r="N14" s="13" t="n">
        <f aca="false">'Egg Eyoon'!D23</f>
        <v>1.7</v>
      </c>
      <c r="O14" s="14" t="n">
        <f aca="false">'Egg Eyoon'!D24</f>
        <v>0.243494117647059</v>
      </c>
      <c r="P14" s="13" t="n">
        <f aca="false">IF('Egg Eyoon'!D25="","",'Egg Eyoon'!D25)</f>
        <v>2.2</v>
      </c>
      <c r="Q14" s="14" t="n">
        <f aca="false">'Egg Eyoon'!D26</f>
        <v>0.188154545454545</v>
      </c>
      <c r="R14" s="13" t="n">
        <f aca="false">'Egg Eyoon'!E22</f>
        <v>0.855146666666667</v>
      </c>
      <c r="S14" s="13" t="n">
        <f aca="false">'Egg Eyoon'!E23</f>
        <v>3.3</v>
      </c>
      <c r="T14" s="14" t="n">
        <f aca="false">'Egg Eyoon'!E24</f>
        <v>0.259135353535354</v>
      </c>
      <c r="U14" s="13" t="n">
        <f aca="false">IF('Egg Eyoon'!E25="","",'Egg Eyoon'!E25)</f>
        <v>3.8</v>
      </c>
      <c r="V14" s="14" t="n">
        <f aca="false">'Egg Eyoon'!E26</f>
        <v>0.225038596491228</v>
      </c>
    </row>
    <row r="15" customFormat="false" ht="15" hidden="false" customHeight="false" outlineLevel="0" collapsed="false">
      <c r="A15" s="2" t="s">
        <v>23</v>
      </c>
      <c r="B15" s="2" t="s">
        <v>14</v>
      </c>
      <c r="C15" s="2"/>
      <c r="D15" s="2"/>
      <c r="E15" s="2"/>
      <c r="F15" s="2"/>
      <c r="G15" s="2"/>
      <c r="H15" s="13" t="n">
        <f aca="false">'Egg &amp; Fasolya'!C35</f>
        <v>0.479065978609626</v>
      </c>
      <c r="I15" s="13" t="n">
        <f aca="false">'Egg &amp; Fasolya'!C36</f>
        <v>1.6</v>
      </c>
      <c r="J15" s="14" t="n">
        <f aca="false">'Egg &amp; Fasolya'!C37</f>
        <v>0.299416236631016</v>
      </c>
      <c r="K15" s="13" t="n">
        <f aca="false">IF('Egg &amp; Fasolya'!C38="","",'Egg &amp; Fasolya'!C38)</f>
        <v>2</v>
      </c>
      <c r="L15" s="14" t="n">
        <f aca="false">'Egg &amp; Fasolya'!C39</f>
        <v>0.239532989304813</v>
      </c>
      <c r="M15" s="13" t="n">
        <f aca="false">'Egg &amp; Fasolya'!D35</f>
        <v>0.937631957219251</v>
      </c>
      <c r="N15" s="13" t="n">
        <f aca="false">'Egg &amp; Fasolya'!D36</f>
        <v>3</v>
      </c>
      <c r="O15" s="14" t="n">
        <f aca="false">'Egg &amp; Fasolya'!D37</f>
        <v>0.31254398573975</v>
      </c>
      <c r="P15" s="13" t="n">
        <f aca="false">IF('Egg &amp; Fasolya'!D38="","",'Egg &amp; Fasolya'!D38)</f>
        <v>3.6</v>
      </c>
      <c r="Q15" s="14" t="n">
        <f aca="false">'Egg &amp; Fasolya'!D39</f>
        <v>0.260453321449792</v>
      </c>
      <c r="R15" s="13" t="n">
        <f aca="false">'Egg &amp; Fasolya'!E35</f>
        <v>1.90253058110517</v>
      </c>
      <c r="S15" s="13" t="n">
        <f aca="false">'Egg &amp; Fasolya'!E36</f>
        <v>5.6</v>
      </c>
      <c r="T15" s="14" t="n">
        <f aca="false">'Egg &amp; Fasolya'!E37</f>
        <v>0.33973760376878</v>
      </c>
      <c r="U15" s="13" t="n">
        <f aca="false">IF('Egg &amp; Fasolya'!E38="","",'Egg &amp; Fasolya'!E38)</f>
        <v>6.8</v>
      </c>
      <c r="V15" s="14" t="n">
        <f aca="false">'Egg &amp; Fasolya'!E39</f>
        <v>0.279783908986054</v>
      </c>
    </row>
    <row r="16" customFormat="false" ht="15" hidden="false" customHeight="false" outlineLevel="0" collapsed="false">
      <c r="A16" s="2" t="s">
        <v>24</v>
      </c>
      <c r="B16" s="2" t="s">
        <v>14</v>
      </c>
      <c r="C16" s="2"/>
      <c r="D16" s="2"/>
      <c r="E16" s="2"/>
      <c r="F16" s="2"/>
      <c r="G16" s="2"/>
      <c r="H16" s="13" t="n">
        <f aca="false">'Egg &amp; Tomato'!C29</f>
        <v>0.2900575</v>
      </c>
      <c r="I16" s="13" t="n">
        <f aca="false">'Egg &amp; Tomato'!C30</f>
        <v>1.2</v>
      </c>
      <c r="J16" s="14" t="n">
        <f aca="false">'Egg &amp; Tomato'!C31</f>
        <v>0.241714583333333</v>
      </c>
      <c r="K16" s="13" t="n">
        <f aca="false">IF('Egg &amp; Tomato'!C32="","",'Egg &amp; Tomato'!C32)</f>
        <v>1.6</v>
      </c>
      <c r="L16" s="14" t="n">
        <f aca="false">'Egg &amp; Tomato'!C33</f>
        <v>0.1812859375</v>
      </c>
      <c r="M16" s="13" t="n">
        <f aca="false">'Egg &amp; Tomato'!D29</f>
        <v>0.559615</v>
      </c>
      <c r="N16" s="13" t="n">
        <f aca="false">'Egg &amp; Tomato'!D30</f>
        <v>2.2</v>
      </c>
      <c r="O16" s="14" t="n">
        <f aca="false">'Egg &amp; Tomato'!D31</f>
        <v>0.254370454545455</v>
      </c>
      <c r="P16" s="13" t="n">
        <f aca="false">IF('Egg &amp; Tomato'!D32="","",'Egg &amp; Tomato'!D32)</f>
        <v>2.8</v>
      </c>
      <c r="Q16" s="14" t="n">
        <f aca="false">'Egg &amp; Tomato'!D33</f>
        <v>0.1998625</v>
      </c>
      <c r="R16" s="13" t="n">
        <f aca="false">'Egg &amp; Tomato'!E29</f>
        <v>1.14649666666667</v>
      </c>
      <c r="S16" s="13" t="n">
        <f aca="false">'Egg &amp; Tomato'!E30</f>
        <v>4.2</v>
      </c>
      <c r="T16" s="14" t="n">
        <f aca="false">'Egg &amp; Tomato'!E31</f>
        <v>0.272975396825397</v>
      </c>
      <c r="U16" s="13" t="n">
        <f aca="false">IF('Egg &amp; Tomato'!E32="","",'Egg &amp; Tomato'!E32)</f>
        <v>5</v>
      </c>
      <c r="V16" s="14" t="n">
        <f aca="false">'Egg &amp; Tomato'!E33</f>
        <v>0.229299333333333</v>
      </c>
    </row>
    <row r="17" customFormat="false" ht="15" hidden="false" customHeight="false" outlineLevel="0" collapsed="false">
      <c r="A17" s="2" t="s">
        <v>25</v>
      </c>
      <c r="B17" s="2" t="s">
        <v>14</v>
      </c>
      <c r="C17" s="2"/>
      <c r="D17" s="2"/>
      <c r="E17" s="2"/>
      <c r="F17" s="2"/>
      <c r="G17" s="2"/>
      <c r="H17" s="13" t="n">
        <f aca="false">Fool!C34</f>
        <v>0.422443756387403</v>
      </c>
      <c r="I17" s="13" t="n">
        <f aca="false">Fool!C35</f>
        <v>1.4</v>
      </c>
      <c r="J17" s="14" t="n">
        <f aca="false">Fool!C36</f>
        <v>0.301745540276717</v>
      </c>
      <c r="K17" s="13" t="n">
        <f aca="false">IF(Fool!C37="","",Fool!C37)</f>
        <v>1.7</v>
      </c>
      <c r="L17" s="14" t="n">
        <f aca="false">Fool!C38</f>
        <v>0.248496327286708</v>
      </c>
      <c r="M17" s="13" t="n">
        <f aca="false">Fool!D34</f>
        <v>0.824387512774807</v>
      </c>
      <c r="N17" s="13" t="n">
        <f aca="false">Fool!D35</f>
        <v>2.6</v>
      </c>
      <c r="O17" s="14" t="n">
        <f aca="false">Fool!D36</f>
        <v>0.317072120298003</v>
      </c>
      <c r="P17" s="13" t="n">
        <f aca="false">IF(Fool!D37="","",Fool!D37)</f>
        <v>3</v>
      </c>
      <c r="Q17" s="14" t="n">
        <f aca="false">Fool!D38</f>
        <v>0.274795837591602</v>
      </c>
      <c r="R17" s="13" t="n">
        <f aca="false">Fool!E34</f>
        <v>1.67604169221628</v>
      </c>
      <c r="S17" s="13" t="n">
        <f aca="false">Fool!E35</f>
        <v>5</v>
      </c>
      <c r="T17" s="14" t="n">
        <f aca="false">Fool!E36</f>
        <v>0.335208338443256</v>
      </c>
      <c r="U17" s="13" t="n">
        <f aca="false">IF(Fool!E37="","",Fool!E37)</f>
        <v>5.6</v>
      </c>
      <c r="V17" s="14" t="n">
        <f aca="false">Fool!E38</f>
        <v>0.299293159324336</v>
      </c>
    </row>
    <row r="18" customFormat="false" ht="15" hidden="false" customHeight="false" outlineLevel="0" collapsed="false">
      <c r="A18" s="2" t="s">
        <v>26</v>
      </c>
      <c r="B18" s="2" t="s">
        <v>27</v>
      </c>
      <c r="C18" s="2"/>
      <c r="D18" s="2"/>
      <c r="E18" s="2"/>
      <c r="F18" s="2"/>
      <c r="G18" s="2"/>
      <c r="H18" s="13" t="n">
        <f aca="false">'Rice &amp; Chicken'!C37</f>
        <v>0.49338804</v>
      </c>
      <c r="I18" s="13" t="n">
        <f aca="false">'Rice &amp; Chicken'!C38</f>
        <v>1.2</v>
      </c>
      <c r="J18" s="14" t="n">
        <f aca="false">'Rice &amp; Chicken'!C39</f>
        <v>0.4111567</v>
      </c>
      <c r="K18" s="13" t="n">
        <f aca="false">IF('Rice &amp; Chicken'!C40="","",'Rice &amp; Chicken'!C40)</f>
        <v>1.2</v>
      </c>
      <c r="L18" s="14" t="n">
        <f aca="false">'Rice &amp; Chicken'!C41</f>
        <v>0.4111567</v>
      </c>
      <c r="M18" s="13" t="n">
        <f aca="false">'Rice &amp; Chicken'!D37</f>
        <v>0.884180066666667</v>
      </c>
      <c r="N18" s="13" t="n">
        <f aca="false">'Rice &amp; Chicken'!D38</f>
        <v>2.3</v>
      </c>
      <c r="O18" s="14" t="n">
        <f aca="false">'Rice &amp; Chicken'!D39</f>
        <v>0.384426115942029</v>
      </c>
      <c r="P18" s="13" t="n">
        <f aca="false">IF('Rice &amp; Chicken'!D40="","",'Rice &amp; Chicken'!D40)</f>
        <v>2.3</v>
      </c>
      <c r="Q18" s="14" t="n">
        <f aca="false">'Rice &amp; Chicken'!D41</f>
        <v>0.384426115942029</v>
      </c>
      <c r="R18" s="13" t="n">
        <f aca="false">'Rice &amp; Chicken'!E37</f>
        <v>1.74446013333333</v>
      </c>
      <c r="S18" s="13" t="n">
        <f aca="false">'Rice &amp; Chicken'!E38</f>
        <v>4.4</v>
      </c>
      <c r="T18" s="14" t="n">
        <f aca="false">'Rice &amp; Chicken'!E39</f>
        <v>0.396468212121212</v>
      </c>
      <c r="U18" s="13" t="n">
        <f aca="false">IF('Rice &amp; Chicken'!E40="","",'Rice &amp; Chicken'!E40)</f>
        <v>4.4</v>
      </c>
      <c r="V18" s="14" t="n">
        <f aca="false">'Rice &amp; Chicken'!E41</f>
        <v>0.396468212121212</v>
      </c>
    </row>
    <row r="19" customFormat="false" ht="15" hidden="false" customHeight="false" outlineLevel="0" collapsed="false">
      <c r="A19" s="2" t="s">
        <v>28</v>
      </c>
      <c r="B19" s="2" t="s">
        <v>27</v>
      </c>
      <c r="C19" s="13" t="n">
        <f aca="false">'Black Eye Beans'!C23</f>
        <v>0.0874890625</v>
      </c>
      <c r="D19" s="13" t="n">
        <f aca="false">'Black Eye Beans'!C24</f>
        <v>0.4</v>
      </c>
      <c r="E19" s="14" t="n">
        <f aca="false">'Black Eye Beans'!C25</f>
        <v>0.21872265625</v>
      </c>
      <c r="F19" s="13" t="n">
        <f aca="false">IF('Black Eye Beans'!C26="","",'Black Eye Beans'!C26)</f>
        <v>0.4</v>
      </c>
      <c r="G19" s="14" t="n">
        <f aca="false">'Black Eye Beans'!C27</f>
        <v>0.21872265625</v>
      </c>
      <c r="H19" s="13" t="n">
        <f aca="false">'Black Eye Beans'!D23</f>
        <v>0.108852083333333</v>
      </c>
      <c r="I19" s="13" t="n">
        <f aca="false">'Black Eye Beans'!D24</f>
        <v>0.6</v>
      </c>
      <c r="J19" s="14" t="n">
        <f aca="false">'Black Eye Beans'!D25</f>
        <v>0.181420138888889</v>
      </c>
      <c r="K19" s="13" t="n">
        <f aca="false">IF('Black Eye Beans'!D26="","",'Black Eye Beans'!D26)</f>
        <v>0.75</v>
      </c>
      <c r="L19" s="14" t="n">
        <f aca="false">'Black Eye Beans'!D27</f>
        <v>0.145136111111111</v>
      </c>
      <c r="M19" s="13" t="n">
        <f aca="false">'Black Eye Beans'!E23</f>
        <v>0.197204166666667</v>
      </c>
      <c r="N19" s="13" t="n">
        <f aca="false">'Black Eye Beans'!E24</f>
        <v>1</v>
      </c>
      <c r="O19" s="14" t="n">
        <f aca="false">'Black Eye Beans'!E25</f>
        <v>0.197204166666667</v>
      </c>
      <c r="P19" s="13" t="n">
        <f aca="false">IF('Black Eye Beans'!E26="","",'Black Eye Beans'!E26)</f>
        <v>1.3</v>
      </c>
      <c r="Q19" s="14" t="n">
        <f aca="false">'Black Eye Beans'!E27</f>
        <v>0.151695512820513</v>
      </c>
      <c r="R19" s="13" t="n">
        <f aca="false">'Black Eye Beans'!F23</f>
        <v>0.421675</v>
      </c>
      <c r="S19" s="13" t="n">
        <f aca="false">'Black Eye Beans'!F24</f>
        <v>1.8</v>
      </c>
      <c r="T19" s="14" t="n">
        <f aca="false">'Black Eye Beans'!F25</f>
        <v>0.234263888888889</v>
      </c>
      <c r="U19" s="13" t="n">
        <f aca="false">IF('Black Eye Beans'!F26="","",'Black Eye Beans'!F26)</f>
        <v>2.2</v>
      </c>
      <c r="V19" s="14" t="n">
        <f aca="false">'Black Eye Beans'!F27</f>
        <v>0.191670454545455</v>
      </c>
    </row>
    <row r="20" customFormat="false" ht="15" hidden="false" customHeight="false" outlineLevel="0" collapsed="false">
      <c r="A20" s="2" t="s">
        <v>29</v>
      </c>
      <c r="B20" s="2" t="s">
        <v>27</v>
      </c>
      <c r="C20" s="13" t="n">
        <f aca="false">Nakhi!C24</f>
        <v>0.0839556818181818</v>
      </c>
      <c r="D20" s="13" t="n">
        <f aca="false">Nakhi!C25</f>
        <v>0.4</v>
      </c>
      <c r="E20" s="14" t="n">
        <f aca="false">Nakhi!C26</f>
        <v>0.209889204545455</v>
      </c>
      <c r="F20" s="13" t="n">
        <f aca="false">IF(Nakhi!C27="","",Nakhi!C27)</f>
        <v>0.4</v>
      </c>
      <c r="G20" s="14" t="n">
        <f aca="false">Nakhi!C28</f>
        <v>0.209889204545455</v>
      </c>
      <c r="H20" s="13" t="n">
        <f aca="false">Nakhi!D24</f>
        <v>0.109299173553719</v>
      </c>
      <c r="I20" s="13" t="n">
        <f aca="false">Nakhi!D25</f>
        <v>0.6</v>
      </c>
      <c r="J20" s="14" t="n">
        <f aca="false">Nakhi!D26</f>
        <v>0.182165289256198</v>
      </c>
      <c r="K20" s="13" t="n">
        <f aca="false">IF(Nakhi!D27="","",Nakhi!D27)</f>
        <v>0.75</v>
      </c>
      <c r="L20" s="14" t="n">
        <f aca="false">Nakhi!D28</f>
        <v>0.145732231404959</v>
      </c>
      <c r="M20" s="13" t="n">
        <f aca="false">Nakhi!E24</f>
        <v>0.210478181818182</v>
      </c>
      <c r="N20" s="13" t="n">
        <f aca="false">Nakhi!E25</f>
        <v>1</v>
      </c>
      <c r="O20" s="14" t="n">
        <f aca="false">Nakhi!E26</f>
        <v>0.210478181818182</v>
      </c>
      <c r="P20" s="13" t="n">
        <f aca="false">IF(Nakhi!E27="","",Nakhi!E27)</f>
        <v>1.2</v>
      </c>
      <c r="Q20" s="14" t="n">
        <f aca="false">Nakhi!E28</f>
        <v>0.175398484848485</v>
      </c>
      <c r="R20" s="13" t="n">
        <f aca="false">Nakhi!F24</f>
        <v>0.402830303030303</v>
      </c>
      <c r="S20" s="13" t="n">
        <f aca="false">Nakhi!F25</f>
        <v>1.8</v>
      </c>
      <c r="T20" s="14" t="n">
        <f aca="false">Nakhi!F26</f>
        <v>0.223794612794613</v>
      </c>
      <c r="U20" s="13" t="n">
        <f aca="false">IF(Nakhi!F27="","",Nakhi!F27)</f>
        <v>2.2</v>
      </c>
      <c r="V20" s="14" t="n">
        <f aca="false">Nakhi!F28</f>
        <v>0.183104683195592</v>
      </c>
    </row>
    <row r="21" customFormat="false" ht="15" hidden="false" customHeight="false" outlineLevel="0" collapsed="false">
      <c r="A21" s="2" t="s">
        <v>30</v>
      </c>
      <c r="B21" s="2" t="s">
        <v>27</v>
      </c>
      <c r="C21" s="13" t="n">
        <f aca="false">Dall!C37</f>
        <v>0.121261898395722</v>
      </c>
      <c r="D21" s="13" t="n">
        <f aca="false">Dall!C38</f>
        <v>0.6</v>
      </c>
      <c r="E21" s="14" t="n">
        <f aca="false">Dall!C39</f>
        <v>0.20210316399287</v>
      </c>
      <c r="F21" s="13" t="n">
        <f aca="false">IF(Dall!C40="","",Dall!C40)</f>
        <v>0.6</v>
      </c>
      <c r="G21" s="14" t="n">
        <f aca="false">Dall!C41</f>
        <v>0.20210316399287</v>
      </c>
      <c r="H21" s="13" t="n">
        <f aca="false">Dall!D37</f>
        <v>0.164037689393939</v>
      </c>
      <c r="I21" s="13" t="n">
        <f aca="false">Dall!D38</f>
        <v>1</v>
      </c>
      <c r="J21" s="14" t="n">
        <f aca="false">Dall!D39</f>
        <v>0.164037689393939</v>
      </c>
      <c r="K21" s="13" t="n">
        <f aca="false">IF(Dall!D40="","",Dall!D40)</f>
        <v>1.35</v>
      </c>
      <c r="L21" s="14" t="n">
        <f aca="false">Dall!D41</f>
        <v>0.121509399551066</v>
      </c>
      <c r="M21" s="13" t="n">
        <f aca="false">Dall!E37</f>
        <v>0.255256534090909</v>
      </c>
      <c r="N21" s="13" t="n">
        <f aca="false">Dall!E38</f>
        <v>1.6</v>
      </c>
      <c r="O21" s="14" t="n">
        <f aca="false">Dall!E39</f>
        <v>0.159535333806818</v>
      </c>
      <c r="P21" s="13" t="n">
        <f aca="false">IF(Dall!E40="","",Dall!E40)</f>
        <v>2.2</v>
      </c>
      <c r="Q21" s="14" t="n">
        <f aca="false">Dall!E41</f>
        <v>0.11602569731405</v>
      </c>
      <c r="R21" s="13" t="n">
        <f aca="false">Dall!F37</f>
        <v>0.537779734848485</v>
      </c>
      <c r="S21" s="13" t="n">
        <f aca="false">Dall!F38</f>
        <v>2.9</v>
      </c>
      <c r="T21" s="14" t="n">
        <f aca="false">Dall!F39</f>
        <v>0.185441287878788</v>
      </c>
      <c r="U21" s="13" t="n">
        <f aca="false">IF(Dall!F40="","",Dall!F40)</f>
        <v>3.8</v>
      </c>
      <c r="V21" s="14" t="n">
        <f aca="false">Dall!F41</f>
        <v>0.141520982854864</v>
      </c>
    </row>
    <row r="22" customFormat="false" ht="15" hidden="false" customHeight="false" outlineLevel="0" collapsed="false">
      <c r="A22" s="2" t="s">
        <v>31</v>
      </c>
      <c r="B22" s="2" t="s">
        <v>27</v>
      </c>
      <c r="C22" s="13" t="n">
        <f aca="false">Bajela!C24</f>
        <v>0.146126060606061</v>
      </c>
      <c r="D22" s="13" t="n">
        <f aca="false">Bajela!C25</f>
        <v>0.4</v>
      </c>
      <c r="E22" s="14" t="n">
        <f aca="false">Bajela!C26</f>
        <v>0.365315151515152</v>
      </c>
      <c r="F22" s="13" t="n">
        <f aca="false">IF(Bajela!C27="","",Bajela!C27)</f>
        <v>0.4</v>
      </c>
      <c r="G22" s="14" t="n">
        <f aca="false">Bajela!C28</f>
        <v>0.365315151515152</v>
      </c>
      <c r="H22" s="13" t="n">
        <f aca="false">Bajela!D24</f>
        <v>0.221943434343434</v>
      </c>
      <c r="I22" s="13" t="n">
        <f aca="false">Bajela!D25</f>
        <v>0.6</v>
      </c>
      <c r="J22" s="14" t="n">
        <f aca="false">Bajela!D26</f>
        <v>0.369905723905724</v>
      </c>
      <c r="K22" s="13" t="n">
        <f aca="false">IF(Bajela!D27="","",Bajela!D27)</f>
        <v>0.75</v>
      </c>
      <c r="L22" s="14" t="n">
        <f aca="false">Bajela!D28</f>
        <v>0.295924579124579</v>
      </c>
      <c r="M22" s="13" t="n">
        <f aca="false">Bajela!E24</f>
        <v>0.336115151515152</v>
      </c>
      <c r="N22" s="13" t="n">
        <f aca="false">Bajela!E25</f>
        <v>1</v>
      </c>
      <c r="O22" s="14" t="n">
        <f aca="false">Bajela!E26</f>
        <v>0.336115151515152</v>
      </c>
      <c r="P22" s="13" t="n">
        <f aca="false">IF(Bajela!E27="","",Bajela!E27)</f>
        <v>1.2</v>
      </c>
      <c r="Q22" s="14" t="n">
        <f aca="false">Bajela!E28</f>
        <v>0.28009595959596</v>
      </c>
      <c r="R22" s="13" t="n">
        <f aca="false">Bajela!F24</f>
        <v>0.69949696969697</v>
      </c>
      <c r="S22" s="13" t="n">
        <f aca="false">Bajela!F25</f>
        <v>1.9</v>
      </c>
      <c r="T22" s="14" t="n">
        <f aca="false">Bajela!F26</f>
        <v>0.36815629984051</v>
      </c>
      <c r="U22" s="13" t="n">
        <f aca="false">IF(Bajela!F27="","",Bajela!F27)</f>
        <v>2.2</v>
      </c>
      <c r="V22" s="14" t="n">
        <f aca="false">Bajela!F28</f>
        <v>0.317953168044077</v>
      </c>
    </row>
    <row r="23" customFormat="false" ht="15" hidden="false" customHeight="false" outlineLevel="0" collapsed="false">
      <c r="A23" s="2" t="s">
        <v>32</v>
      </c>
      <c r="B23" s="2" t="s">
        <v>27</v>
      </c>
      <c r="C23" s="13" t="n">
        <f aca="false">Harees!C25</f>
        <v>0.253946875</v>
      </c>
      <c r="D23" s="13" t="n">
        <f aca="false">Harees!C26</f>
        <v>0.6</v>
      </c>
      <c r="E23" s="14" t="n">
        <f aca="false">Harees!C27</f>
        <v>0.423244791666667</v>
      </c>
      <c r="F23" s="13" t="n">
        <f aca="false">IF(Harees!C28="","",Harees!C28)</f>
        <v>0.6</v>
      </c>
      <c r="G23" s="14" t="n">
        <f aca="false">Harees!C29</f>
        <v>0.423244791666667</v>
      </c>
      <c r="H23" s="13" t="n">
        <f aca="false">Harees!D25</f>
        <v>0.320795833333333</v>
      </c>
      <c r="I23" s="13" t="n">
        <f aca="false">Harees!D26</f>
        <v>1</v>
      </c>
      <c r="J23" s="14" t="n">
        <f aca="false">Harees!D27</f>
        <v>0.320795833333333</v>
      </c>
      <c r="K23" s="13" t="n">
        <f aca="false">IF(Harees!D28="","",Harees!D28)</f>
        <v>1.35</v>
      </c>
      <c r="L23" s="14" t="n">
        <f aca="false">Harees!D29</f>
        <v>0.237626543209877</v>
      </c>
      <c r="M23" s="13" t="n">
        <f aca="false">Harees!E25</f>
        <v>0.641091666666667</v>
      </c>
      <c r="N23" s="13" t="n">
        <f aca="false">Harees!E26</f>
        <v>1.6</v>
      </c>
      <c r="O23" s="14" t="n">
        <f aca="false">Harees!E27</f>
        <v>0.400682291666667</v>
      </c>
      <c r="P23" s="13" t="n">
        <f aca="false">IF(Harees!E28="","",Harees!E28)</f>
        <v>2.4</v>
      </c>
      <c r="Q23" s="14" t="n">
        <f aca="false">Harees!E29</f>
        <v>0.267121527777778</v>
      </c>
      <c r="R23" s="13" t="n">
        <f aca="false">Harees!F25</f>
        <v>1.13750952380952</v>
      </c>
      <c r="S23" s="13" t="n">
        <f aca="false">Harees!F26</f>
        <v>2.9</v>
      </c>
      <c r="T23" s="14" t="n">
        <f aca="false">Harees!F27</f>
        <v>0.392244663382594</v>
      </c>
      <c r="U23" s="13" t="n">
        <f aca="false">IF(Harees!F28="","",Harees!F28)</f>
        <v>4.4</v>
      </c>
      <c r="V23" s="14" t="n">
        <f aca="false">Harees!F29</f>
        <v>0.258524891774892</v>
      </c>
    </row>
    <row r="24" customFormat="false" ht="15" hidden="false" customHeight="false" outlineLevel="0" collapsed="false">
      <c r="A24" s="2" t="s">
        <v>33</v>
      </c>
      <c r="B24" s="2" t="s">
        <v>27</v>
      </c>
      <c r="C24" s="2"/>
      <c r="D24" s="2"/>
      <c r="E24" s="2"/>
      <c r="F24" s="2"/>
      <c r="G24" s="2"/>
      <c r="H24" s="13" t="n">
        <f aca="false">Jareesh!C33</f>
        <v>0.185055566666667</v>
      </c>
      <c r="I24" s="13" t="n">
        <f aca="false">Jareesh!C34</f>
        <v>1</v>
      </c>
      <c r="J24" s="14" t="n">
        <f aca="false">Jareesh!C35</f>
        <v>0.185055566666667</v>
      </c>
      <c r="K24" s="13" t="n">
        <f aca="false">IF(Jareesh!C36="","",Jareesh!C36)</f>
        <v>1</v>
      </c>
      <c r="L24" s="14" t="n">
        <f aca="false">Jareesh!C37</f>
        <v>0.185055566666667</v>
      </c>
      <c r="M24" s="13" t="n">
        <f aca="false">Jareesh!D33</f>
        <v>0.3430041875</v>
      </c>
      <c r="N24" s="13" t="n">
        <f aca="false">Jareesh!D34</f>
        <v>1.6</v>
      </c>
      <c r="O24" s="14" t="n">
        <f aca="false">Jareesh!D35</f>
        <v>0.2143776171875</v>
      </c>
      <c r="P24" s="13" t="n">
        <f aca="false">IF(Jareesh!D36="","",Jareesh!D36)</f>
        <v>1.6</v>
      </c>
      <c r="Q24" s="14" t="n">
        <f aca="false">Jareesh!D37</f>
        <v>0.2143776171875</v>
      </c>
      <c r="R24" s="13" t="n">
        <f aca="false">Jareesh!E33</f>
        <v>0.8689445</v>
      </c>
      <c r="S24" s="13" t="n">
        <f aca="false">Jareesh!E34</f>
        <v>2.9</v>
      </c>
      <c r="T24" s="14" t="n">
        <f aca="false">Jareesh!E35</f>
        <v>0.299636034482759</v>
      </c>
      <c r="U24" s="13" t="n">
        <f aca="false">IF(Jareesh!E36="","",Jareesh!E36)</f>
        <v>2.9</v>
      </c>
      <c r="V24" s="14" t="n">
        <f aca="false">Jareesh!E37</f>
        <v>0.299636034482759</v>
      </c>
    </row>
    <row r="25" customFormat="false" ht="15" hidden="false" customHeight="false" outlineLevel="0" collapsed="false">
      <c r="A25" s="2" t="s">
        <v>34</v>
      </c>
      <c r="B25" s="2" t="s">
        <v>27</v>
      </c>
      <c r="C25" s="13" t="n">
        <f aca="false">Shilla!C38</f>
        <v>0.118200055555556</v>
      </c>
      <c r="D25" s="13" t="n">
        <f aca="false">Shilla!C39</f>
        <v>0.6</v>
      </c>
      <c r="E25" s="14" t="n">
        <f aca="false">Shilla!C40</f>
        <v>0.197000092592593</v>
      </c>
      <c r="F25" s="13" t="n">
        <f aca="false">IF(Shilla!C41="","",Shilla!C41)</f>
        <v>0.6</v>
      </c>
      <c r="G25" s="14" t="n">
        <f aca="false">Shilla!C42</f>
        <v>0.197000092592593</v>
      </c>
      <c r="H25" s="13" t="n">
        <f aca="false">Shilla!D38</f>
        <v>0.173072818181818</v>
      </c>
      <c r="I25" s="13" t="n">
        <f aca="false">Shilla!D39</f>
        <v>1</v>
      </c>
      <c r="J25" s="14" t="n">
        <f aca="false">Shilla!D40</f>
        <v>0.173072818181818</v>
      </c>
      <c r="K25" s="13" t="n">
        <f aca="false">IF(Shilla!D41="","",Shilla!D41)</f>
        <v>1.35</v>
      </c>
      <c r="L25" s="14" t="n">
        <f aca="false">Shilla!D42</f>
        <v>0.128202087542088</v>
      </c>
      <c r="M25" s="13" t="n">
        <f aca="false">Shilla!E38</f>
        <v>0.271785857142857</v>
      </c>
      <c r="N25" s="13" t="n">
        <f aca="false">Shilla!E39</f>
        <v>1.6</v>
      </c>
      <c r="O25" s="14" t="n">
        <f aca="false">Shilla!E40</f>
        <v>0.169866160714286</v>
      </c>
      <c r="P25" s="13" t="n">
        <f aca="false">IF(Shilla!E41="","",Shilla!E41)</f>
        <v>2.2</v>
      </c>
      <c r="Q25" s="14" t="n">
        <f aca="false">Shilla!E42</f>
        <v>0.123539025974026</v>
      </c>
      <c r="R25" s="13" t="n">
        <f aca="false">Shilla!F38</f>
        <v>0.521466916666667</v>
      </c>
      <c r="S25" s="13" t="n">
        <f aca="false">Shilla!F39</f>
        <v>2.9</v>
      </c>
      <c r="T25" s="14" t="n">
        <f aca="false">Shilla!F40</f>
        <v>0.17981617816092</v>
      </c>
      <c r="U25" s="13" t="n">
        <f aca="false">IF(Shilla!F41="","",Shilla!F41)</f>
        <v>3.8</v>
      </c>
      <c r="V25" s="14" t="n">
        <f aca="false">Shilla!F42</f>
        <v>0.137228135964912</v>
      </c>
    </row>
    <row r="26" customFormat="false" ht="15" hidden="false" customHeight="false" outlineLevel="0" collapsed="false">
      <c r="A26" s="2" t="s">
        <v>35</v>
      </c>
      <c r="B26" s="2" t="s">
        <v>27</v>
      </c>
      <c r="C26" s="13" t="n">
        <f aca="false">Madrooba!C41</f>
        <v>0.161172037337662</v>
      </c>
      <c r="D26" s="13" t="n">
        <f aca="false">Madrooba!C42</f>
        <v>0.6</v>
      </c>
      <c r="E26" s="14" t="n">
        <f aca="false">Madrooba!C43</f>
        <v>0.268620062229437</v>
      </c>
      <c r="F26" s="13" t="n">
        <f aca="false">IF(Madrooba!C44="","",Madrooba!C44)</f>
        <v>0.6</v>
      </c>
      <c r="G26" s="14" t="n">
        <f aca="false">Madrooba!C45</f>
        <v>0.268620062229437</v>
      </c>
      <c r="H26" s="13" t="n">
        <f aca="false">Madrooba!D41</f>
        <v>0.258501065340909</v>
      </c>
      <c r="I26" s="13" t="n">
        <f aca="false">Madrooba!D42</f>
        <v>1.1</v>
      </c>
      <c r="J26" s="14" t="n">
        <f aca="false">Madrooba!D43</f>
        <v>0.235000968491736</v>
      </c>
      <c r="K26" s="13" t="n">
        <f aca="false">IF(Madrooba!D44="","",Madrooba!D44)</f>
        <v>1.35</v>
      </c>
      <c r="L26" s="14" t="n">
        <f aca="false">Madrooba!D45</f>
        <v>0.191482270622896</v>
      </c>
      <c r="M26" s="13" t="n">
        <f aca="false">Madrooba!E41</f>
        <v>0.496502130681818</v>
      </c>
      <c r="N26" s="13" t="n">
        <f aca="false">Madrooba!E42</f>
        <v>1.8</v>
      </c>
      <c r="O26" s="14" t="n">
        <f aca="false">Madrooba!E43</f>
        <v>0.275834517045455</v>
      </c>
      <c r="P26" s="13" t="n">
        <f aca="false">IF(Madrooba!E44="","",Madrooba!E44)</f>
        <v>2.4</v>
      </c>
      <c r="Q26" s="14" t="n">
        <f aca="false">Madrooba!E45</f>
        <v>0.206875887784091</v>
      </c>
      <c r="R26" s="13" t="n">
        <f aca="false">Madrooba!F41</f>
        <v>1.0202709280303</v>
      </c>
      <c r="S26" s="13" t="n">
        <f aca="false">Madrooba!F42</f>
        <v>3.2</v>
      </c>
      <c r="T26" s="14" t="n">
        <f aca="false">Madrooba!F43</f>
        <v>0.31883466500947</v>
      </c>
      <c r="U26" s="13" t="n">
        <f aca="false">IF(Madrooba!F44="","",Madrooba!F44)</f>
        <v>4.4</v>
      </c>
      <c r="V26" s="14" t="n">
        <f aca="false">Madrooba!F45</f>
        <v>0.231879756370523</v>
      </c>
    </row>
    <row r="27" customFormat="false" ht="15" hidden="false" customHeight="false" outlineLevel="0" collapsed="false">
      <c r="A27" s="2" t="s">
        <v>36</v>
      </c>
      <c r="B27" s="2" t="s">
        <v>37</v>
      </c>
      <c r="C27" s="2"/>
      <c r="D27" s="2"/>
      <c r="E27" s="2"/>
      <c r="F27" s="2"/>
      <c r="G27" s="2"/>
      <c r="H27" s="13" t="n">
        <f aca="false">'Beef Liver'!C34</f>
        <v>0.513693272727273</v>
      </c>
      <c r="I27" s="13" t="n">
        <f aca="false">'Beef Liver'!C35</f>
        <v>1.8</v>
      </c>
      <c r="J27" s="14" t="n">
        <f aca="false">'Beef Liver'!C36</f>
        <v>0.285385151515152</v>
      </c>
      <c r="K27" s="13" t="n">
        <f aca="false">IF('Beef Liver'!C37="","",'Beef Liver'!C37)</f>
        <v>2.2</v>
      </c>
      <c r="L27" s="14" t="n">
        <f aca="false">'Beef Liver'!C38</f>
        <v>0.23349694214876</v>
      </c>
      <c r="M27" s="13" t="n">
        <f aca="false">'Beef Liver'!D34</f>
        <v>1.01487854545455</v>
      </c>
      <c r="N27" s="13" t="n">
        <f aca="false">'Beef Liver'!D35</f>
        <v>3.4</v>
      </c>
      <c r="O27" s="14" t="n">
        <f aca="false">'Beef Liver'!D36</f>
        <v>0.298493689839572</v>
      </c>
      <c r="P27" s="13" t="n">
        <f aca="false">IF('Beef Liver'!D37="","",'Beef Liver'!D37)</f>
        <v>4</v>
      </c>
      <c r="Q27" s="14" t="n">
        <f aca="false">'Beef Liver'!D38</f>
        <v>0.253719636363636</v>
      </c>
      <c r="R27" s="13" t="n">
        <f aca="false">'Beef Liver'!E34</f>
        <v>1.75149757575758</v>
      </c>
      <c r="S27" s="13" t="n">
        <f aca="false">'Beef Liver'!E35</f>
        <v>6.2</v>
      </c>
      <c r="T27" s="14" t="n">
        <f aca="false">'Beef Liver'!E36</f>
        <v>0.282499608993157</v>
      </c>
      <c r="U27" s="13" t="n">
        <f aca="false">IF('Beef Liver'!E37="","",'Beef Liver'!E37)</f>
        <v>7.5</v>
      </c>
      <c r="V27" s="14" t="n">
        <f aca="false">'Beef Liver'!E38</f>
        <v>0.23353301010101</v>
      </c>
    </row>
    <row r="28" customFormat="false" ht="15" hidden="false" customHeight="false" outlineLevel="0" collapsed="false">
      <c r="A28" s="2" t="s">
        <v>38</v>
      </c>
      <c r="B28" s="2" t="s">
        <v>37</v>
      </c>
      <c r="C28" s="2"/>
      <c r="D28" s="2"/>
      <c r="E28" s="2"/>
      <c r="F28" s="2"/>
      <c r="G28" s="2"/>
      <c r="H28" s="13" t="n">
        <f aca="false">'Chicken Liver'!C40</f>
        <v>0.6053255</v>
      </c>
      <c r="I28" s="13" t="n">
        <f aca="false">'Chicken Liver'!C41</f>
        <v>2</v>
      </c>
      <c r="J28" s="14" t="n">
        <f aca="false">'Chicken Liver'!C42</f>
        <v>0.30266275</v>
      </c>
      <c r="K28" s="13" t="n">
        <f aca="false">IF('Chicken Liver'!C43="","",'Chicken Liver'!C43)</f>
        <v>2.2</v>
      </c>
      <c r="L28" s="14" t="n">
        <f aca="false">'Chicken Liver'!C44</f>
        <v>0.275147954545455</v>
      </c>
      <c r="M28" s="13" t="n">
        <f aca="false">'Chicken Liver'!D40</f>
        <v>1.198143</v>
      </c>
      <c r="N28" s="13" t="n">
        <f aca="false">'Chicken Liver'!D41</f>
        <v>3.6</v>
      </c>
      <c r="O28" s="14" t="n">
        <f aca="false">'Chicken Liver'!D42</f>
        <v>0.3328175</v>
      </c>
      <c r="P28" s="13" t="n">
        <f aca="false">IF('Chicken Liver'!D43="","",'Chicken Liver'!D43)</f>
        <v>4</v>
      </c>
      <c r="Q28" s="14" t="n">
        <f aca="false">'Chicken Liver'!D44</f>
        <v>0.29953575</v>
      </c>
      <c r="R28" s="13" t="n">
        <f aca="false">'Chicken Liver'!E40</f>
        <v>2.38955266666667</v>
      </c>
      <c r="S28" s="13" t="n">
        <f aca="false">'Chicken Liver'!E41</f>
        <v>6.8</v>
      </c>
      <c r="T28" s="14" t="n">
        <f aca="false">'Chicken Liver'!E42</f>
        <v>0.351404803921569</v>
      </c>
      <c r="U28" s="13" t="n">
        <f aca="false">IF('Chicken Liver'!E43="","",'Chicken Liver'!E43)</f>
        <v>7.5</v>
      </c>
      <c r="V28" s="14" t="n">
        <f aca="false">'Chicken Liver'!E44</f>
        <v>0.318607022222222</v>
      </c>
    </row>
    <row r="29" customFormat="false" ht="15" hidden="false" customHeight="false" outlineLevel="0" collapsed="false">
      <c r="A29" s="2" t="s">
        <v>39</v>
      </c>
      <c r="B29" s="2" t="s">
        <v>37</v>
      </c>
      <c r="C29" s="2"/>
      <c r="D29" s="2"/>
      <c r="E29" s="2"/>
      <c r="F29" s="2"/>
      <c r="G29" s="2"/>
      <c r="H29" s="13" t="n">
        <f aca="false">'Qeema Meat'!C35</f>
        <v>0.51531775</v>
      </c>
      <c r="I29" s="13" t="n">
        <f aca="false">'Qeema Meat'!C36</f>
        <v>2.5</v>
      </c>
      <c r="J29" s="14" t="n">
        <f aca="false">'Qeema Meat'!C37</f>
        <v>0.2061271</v>
      </c>
      <c r="K29" s="13" t="n">
        <f aca="false">IF('Qeema Meat'!C38="","",'Qeema Meat'!C38)</f>
        <v>2.5</v>
      </c>
      <c r="L29" s="14" t="n">
        <f aca="false">'Qeema Meat'!C39</f>
        <v>0.2061271</v>
      </c>
      <c r="M29" s="13" t="n">
        <f aca="false">'Qeema Meat'!D35</f>
        <v>1.0181275</v>
      </c>
      <c r="N29" s="13" t="n">
        <f aca="false">'Qeema Meat'!D36</f>
        <v>3.2</v>
      </c>
      <c r="O29" s="14" t="n">
        <f aca="false">'Qeema Meat'!D37</f>
        <v>0.31816484375</v>
      </c>
      <c r="P29" s="13" t="n">
        <f aca="false">IF('Qeema Meat'!D38="","",'Qeema Meat'!D38)</f>
        <v>3.5</v>
      </c>
      <c r="Q29" s="14" t="n">
        <f aca="false">'Qeema Meat'!D39</f>
        <v>0.290893571428572</v>
      </c>
      <c r="R29" s="13" t="n">
        <f aca="false">'Qeema Meat'!E35</f>
        <v>2.06352166666667</v>
      </c>
      <c r="S29" s="13" t="n">
        <f aca="false">'Qeema Meat'!E36</f>
        <v>5.4</v>
      </c>
      <c r="T29" s="14" t="n">
        <f aca="false">'Qeema Meat'!E37</f>
        <v>0.382133641975309</v>
      </c>
      <c r="U29" s="13" t="n">
        <f aca="false">IF('Qeema Meat'!E38="","",'Qeema Meat'!E38)</f>
        <v>6</v>
      </c>
      <c r="V29" s="14" t="n">
        <f aca="false">'Qeema Meat'!E39</f>
        <v>0.343920277777778</v>
      </c>
    </row>
    <row r="30" customFormat="false" ht="15" hidden="false" customHeight="false" outlineLevel="0" collapsed="false">
      <c r="A30" s="2" t="s">
        <v>40</v>
      </c>
      <c r="B30" s="2" t="s">
        <v>37</v>
      </c>
      <c r="C30" s="2"/>
      <c r="D30" s="2"/>
      <c r="E30" s="2"/>
      <c r="F30" s="2"/>
      <c r="G30" s="2"/>
      <c r="H30" s="13" t="n">
        <f aca="false">'Nashif Chicken'!C48</f>
        <v>0.424355522727273</v>
      </c>
      <c r="I30" s="13" t="n">
        <f aca="false">'Nashif Chicken'!C49</f>
        <v>1.8</v>
      </c>
      <c r="J30" s="14" t="n">
        <f aca="false">'Nashif Chicken'!C50</f>
        <v>0.235753068181818</v>
      </c>
      <c r="K30" s="13" t="n">
        <f aca="false">IF('Nashif Chicken'!C51="","",'Nashif Chicken'!C51)</f>
        <v>2.2</v>
      </c>
      <c r="L30" s="14" t="n">
        <f aca="false">'Nashif Chicken'!C52</f>
        <v>0.192888873966942</v>
      </c>
      <c r="M30" s="13" t="n">
        <f aca="false">'Nashif Chicken'!D48</f>
        <v>0.828211045454546</v>
      </c>
      <c r="N30" s="13" t="n">
        <f aca="false">'Nashif Chicken'!D49</f>
        <v>3.4</v>
      </c>
      <c r="O30" s="14" t="n">
        <f aca="false">'Nashif Chicken'!D50</f>
        <v>0.243591483957219</v>
      </c>
      <c r="P30" s="13" t="n">
        <f aca="false">IF('Nashif Chicken'!D51="","",'Nashif Chicken'!D51)</f>
        <v>4</v>
      </c>
      <c r="Q30" s="14" t="n">
        <f aca="false">'Nashif Chicken'!D52</f>
        <v>0.207052761363636</v>
      </c>
      <c r="R30" s="13" t="n">
        <f aca="false">'Nashif Chicken'!E48</f>
        <v>2.17029612121212</v>
      </c>
      <c r="S30" s="13" t="n">
        <f aca="false">'Nashif Chicken'!E49</f>
        <v>6.6</v>
      </c>
      <c r="T30" s="14" t="n">
        <f aca="false">'Nashif Chicken'!E50</f>
        <v>0.3288327456382</v>
      </c>
      <c r="U30" s="13" t="n">
        <f aca="false">IF('Nashif Chicken'!E51="","",'Nashif Chicken'!E51)</f>
        <v>7.6</v>
      </c>
      <c r="V30" s="14" t="n">
        <f aca="false">'Nashif Chicken'!E52</f>
        <v>0.285565279106858</v>
      </c>
    </row>
    <row r="31" customFormat="false" ht="15" hidden="false" customHeight="false" outlineLevel="0" collapsed="false">
      <c r="A31" s="2" t="s">
        <v>41</v>
      </c>
      <c r="B31" s="2" t="s">
        <v>37</v>
      </c>
      <c r="C31" s="2"/>
      <c r="D31" s="2"/>
      <c r="E31" s="2"/>
      <c r="F31" s="2"/>
      <c r="G31" s="2"/>
      <c r="H31" s="13" t="n">
        <f aca="false">'Nashif Meat'!C42</f>
        <v>0.568221666666667</v>
      </c>
      <c r="I31" s="13" t="n">
        <f aca="false">'Nashif Meat'!C43</f>
        <v>2</v>
      </c>
      <c r="J31" s="14" t="n">
        <f aca="false">'Nashif Meat'!C44</f>
        <v>0.284110833333333</v>
      </c>
      <c r="K31" s="13" t="n">
        <f aca="false">IF('Nashif Meat'!C45="","",'Nashif Meat'!C45)</f>
        <v>1.5</v>
      </c>
      <c r="L31" s="14" t="n">
        <f aca="false">'Nashif Meat'!C46</f>
        <v>0.378814444444444</v>
      </c>
      <c r="M31" s="13" t="n">
        <f aca="false">'Nashif Meat'!D42</f>
        <v>1.11673533333333</v>
      </c>
      <c r="N31" s="13" t="n">
        <f aca="false">'Nashif Meat'!D43</f>
        <v>3.8</v>
      </c>
      <c r="O31" s="14" t="n">
        <f aca="false">'Nashif Meat'!D44</f>
        <v>0.293877719298246</v>
      </c>
      <c r="P31" s="13" t="n">
        <f aca="false">IF('Nashif Meat'!D45="","",'Nashif Meat'!D45)</f>
        <v>2.8</v>
      </c>
      <c r="Q31" s="14" t="n">
        <f aca="false">'Nashif Meat'!D46</f>
        <v>0.398834047619048</v>
      </c>
      <c r="R31" s="13" t="n">
        <f aca="false">'Nashif Meat'!E42</f>
        <v>2.26841733333333</v>
      </c>
      <c r="S31" s="13" t="n">
        <f aca="false">'Nashif Meat'!E43</f>
        <v>7</v>
      </c>
      <c r="T31" s="14" t="n">
        <f aca="false">'Nashif Meat'!E44</f>
        <v>0.324059619047619</v>
      </c>
      <c r="U31" s="13" t="n">
        <f aca="false">IF('Nashif Meat'!E45="","",'Nashif Meat'!E45)</f>
        <v>5.4</v>
      </c>
      <c r="V31" s="14" t="n">
        <f aca="false">'Nashif Meat'!E46</f>
        <v>0.420077283950617</v>
      </c>
    </row>
    <row r="32" customFormat="false" ht="15" hidden="false" customHeight="false" outlineLevel="0" collapsed="false">
      <c r="A32" s="2" t="s">
        <v>42</v>
      </c>
      <c r="B32" s="2" t="s">
        <v>43</v>
      </c>
      <c r="C32" s="13" t="n">
        <f aca="false">Aseeda!C25</f>
        <v>0.0802147</v>
      </c>
      <c r="D32" s="13" t="n">
        <f aca="false">Aseeda!C26</f>
        <v>0.4</v>
      </c>
      <c r="E32" s="14" t="n">
        <f aca="false">Aseeda!C27</f>
        <v>0.20053675</v>
      </c>
      <c r="F32" s="13" t="n">
        <f aca="false">IF(Aseeda!C28="","",Aseeda!C28)</f>
        <v>0.4</v>
      </c>
      <c r="G32" s="14" t="n">
        <f aca="false">Aseeda!C29</f>
        <v>0.20053675</v>
      </c>
      <c r="H32" s="13" t="n">
        <f aca="false">Aseeda!D25</f>
        <v>0.118491166666667</v>
      </c>
      <c r="I32" s="13" t="n">
        <f aca="false">Aseeda!D26</f>
        <v>0.7</v>
      </c>
      <c r="J32" s="14" t="n">
        <f aca="false">Aseeda!D27</f>
        <v>0.169273095238095</v>
      </c>
      <c r="K32" s="13" t="n">
        <f aca="false">IF(Aseeda!D28="","",Aseeda!D28)</f>
        <v>1</v>
      </c>
      <c r="L32" s="14" t="n">
        <f aca="false">Aseeda!D29</f>
        <v>0.118491166666667</v>
      </c>
      <c r="M32" s="13" t="n">
        <f aca="false">Aseeda!E25</f>
        <v>0.17773675</v>
      </c>
      <c r="N32" s="13" t="n">
        <f aca="false">Aseeda!E26</f>
        <v>1</v>
      </c>
      <c r="O32" s="14" t="n">
        <f aca="false">Aseeda!E27</f>
        <v>0.17773675</v>
      </c>
      <c r="P32" s="13" t="n">
        <f aca="false">IF(Aseeda!E28="","",Aseeda!E28)</f>
        <v>1.5</v>
      </c>
      <c r="Q32" s="14" t="n">
        <f aca="false">Aseeda!E29</f>
        <v>0.118491166666667</v>
      </c>
      <c r="R32" s="13" t="n">
        <f aca="false">Aseeda!F25</f>
        <v>0.376340166666667</v>
      </c>
      <c r="S32" s="13" t="n">
        <f aca="false">Aseeda!F26</f>
        <v>1.9</v>
      </c>
      <c r="T32" s="14" t="n">
        <f aca="false">Aseeda!F27</f>
        <v>0.198073771929825</v>
      </c>
      <c r="U32" s="13" t="n">
        <f aca="false">IF(Aseeda!F28="","",Aseeda!F28)</f>
        <v>2.5</v>
      </c>
      <c r="V32" s="14" t="n">
        <f aca="false">Aseeda!F29</f>
        <v>0.150536066666667</v>
      </c>
    </row>
    <row r="33" customFormat="false" ht="15" hidden="false" customHeight="false" outlineLevel="0" collapsed="false">
      <c r="A33" s="2" t="s">
        <v>44</v>
      </c>
      <c r="B33" s="2" t="s">
        <v>43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13" t="n">
        <f aca="false">Qeemat!C25</f>
        <v>0.471863492063492</v>
      </c>
      <c r="N33" s="13" t="n">
        <f aca="false">Qeemat!C26</f>
        <v>1.4</v>
      </c>
      <c r="O33" s="14" t="n">
        <f aca="false">Qeemat!C27</f>
        <v>0.337045351473923</v>
      </c>
      <c r="P33" s="13" t="n">
        <f aca="false">IF(Qeemat!C28="","",Qeemat!C28)</f>
        <v>1.8</v>
      </c>
      <c r="Q33" s="14" t="n">
        <f aca="false">Qeemat!C29</f>
        <v>0.262146384479718</v>
      </c>
      <c r="R33" s="2"/>
      <c r="S33" s="2"/>
      <c r="T33" s="2"/>
      <c r="U33" s="2"/>
      <c r="V33" s="2"/>
    </row>
    <row r="34" customFormat="false" ht="15" hidden="false" customHeight="false" outlineLevel="0" collapsed="false">
      <c r="A34" s="2" t="s">
        <v>45</v>
      </c>
      <c r="B34" s="2" t="s">
        <v>43</v>
      </c>
      <c r="C34" s="2"/>
      <c r="D34" s="2"/>
      <c r="E34" s="2"/>
      <c r="F34" s="2"/>
      <c r="G34" s="2"/>
      <c r="H34" s="13" t="n">
        <f aca="false">Balaleet!C25</f>
        <v>0.286955555555556</v>
      </c>
      <c r="I34" s="13" t="n">
        <f aca="false">Balaleet!C26</f>
        <v>1</v>
      </c>
      <c r="J34" s="14" t="n">
        <f aca="false">Balaleet!C27</f>
        <v>0.286955555555556</v>
      </c>
      <c r="K34" s="13" t="str">
        <f aca="false">IF(Balaleet!C28="","",Balaleet!C28)</f>
        <v/>
      </c>
      <c r="L34" s="14" t="str">
        <f aca="false">Balaleet!C29</f>
        <v/>
      </c>
      <c r="M34" s="13" t="n">
        <f aca="false">Balaleet!D25</f>
        <v>0.433633333333333</v>
      </c>
      <c r="N34" s="13" t="n">
        <f aca="false">Balaleet!D26</f>
        <v>1.6</v>
      </c>
      <c r="O34" s="14" t="n">
        <f aca="false">Balaleet!D27</f>
        <v>0.271020833333333</v>
      </c>
      <c r="P34" s="13" t="n">
        <f aca="false">IF(Balaleet!D28="","",Balaleet!D28)</f>
        <v>2</v>
      </c>
      <c r="Q34" s="14" t="n">
        <f aca="false">Balaleet!D29</f>
        <v>0.216816666666667</v>
      </c>
      <c r="R34" s="13" t="n">
        <f aca="false">Balaleet!E25</f>
        <v>0.894533333333333</v>
      </c>
      <c r="S34" s="13" t="n">
        <f aca="false">Balaleet!E26</f>
        <v>3</v>
      </c>
      <c r="T34" s="14" t="n">
        <f aca="false">Balaleet!E27</f>
        <v>0.298177777777778</v>
      </c>
      <c r="U34" s="13" t="str">
        <f aca="false">IF(Balaleet!E28="","",Balaleet!E28)</f>
        <v/>
      </c>
      <c r="V34" s="14" t="str">
        <f aca="false">Balaleet!E29</f>
        <v/>
      </c>
    </row>
    <row r="35" customFormat="false" ht="15" hidden="false" customHeight="false" outlineLevel="0" collapsed="false">
      <c r="A35" s="2" t="s">
        <v>46</v>
      </c>
      <c r="B35" s="2" t="s">
        <v>43</v>
      </c>
      <c r="C35" s="13" t="n">
        <f aca="false">Fateeta!C24</f>
        <v>0.167105</v>
      </c>
      <c r="D35" s="13" t="n">
        <f aca="false">Fateeta!C25</f>
        <v>0.6</v>
      </c>
      <c r="E35" s="14" t="n">
        <f aca="false">Fateeta!C26</f>
        <v>0.278508333333333</v>
      </c>
      <c r="F35" s="13" t="n">
        <f aca="false">IF(Fateeta!C27="","",Fateeta!C27)</f>
        <v>0.4</v>
      </c>
      <c r="G35" s="14" t="n">
        <f aca="false">Fateeta!C28</f>
        <v>0.4177625</v>
      </c>
      <c r="H35" s="13" t="n">
        <f aca="false">Fateeta!D24</f>
        <v>0.233378571428571</v>
      </c>
      <c r="I35" s="13" t="n">
        <f aca="false">Fateeta!D25</f>
        <v>0.9</v>
      </c>
      <c r="J35" s="14" t="n">
        <f aca="false">Fateeta!D26</f>
        <v>0.259309523809524</v>
      </c>
      <c r="K35" s="13" t="n">
        <f aca="false">IF(Fateeta!D27="","",Fateeta!D27)</f>
        <v>1</v>
      </c>
      <c r="L35" s="14" t="n">
        <f aca="false">Fateeta!D28</f>
        <v>0.233378571428571</v>
      </c>
      <c r="M35" s="13" t="n">
        <f aca="false">Fateeta!E24</f>
        <v>0.3949625</v>
      </c>
      <c r="N35" s="13" t="n">
        <f aca="false">Fateeta!E25</f>
        <v>1.6</v>
      </c>
      <c r="O35" s="14" t="n">
        <f aca="false">Fateeta!E26</f>
        <v>0.2468515625</v>
      </c>
      <c r="P35" s="13" t="n">
        <f aca="false">IF(Fateeta!E27="","",Fateeta!E27)</f>
        <v>1.5</v>
      </c>
      <c r="Q35" s="14" t="n">
        <f aca="false">Fateeta!E28</f>
        <v>0.263308333333333</v>
      </c>
      <c r="R35" s="13" t="n">
        <f aca="false">Fateeta!F24</f>
        <v>0.810791666666667</v>
      </c>
      <c r="S35" s="13" t="n">
        <f aca="false">Fateeta!F25</f>
        <v>3</v>
      </c>
      <c r="T35" s="14" t="n">
        <f aca="false">Fateeta!F26</f>
        <v>0.270263888888889</v>
      </c>
      <c r="U35" s="13" t="n">
        <f aca="false">IF(Fateeta!F27="","",Fateeta!F27)</f>
        <v>2.5</v>
      </c>
      <c r="V35" s="14" t="n">
        <f aca="false">Fateeta!F28</f>
        <v>0.324316666666667</v>
      </c>
    </row>
  </sheetData>
  <mergeCells count="4">
    <mergeCell ref="C4:G4"/>
    <mergeCell ref="H4:L4"/>
    <mergeCell ref="M4:Q4"/>
    <mergeCell ref="R4:V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5" t="s">
        <v>47</v>
      </c>
      <c r="B1" s="15" t="s">
        <v>48</v>
      </c>
      <c r="C1" s="15" t="s">
        <v>49</v>
      </c>
      <c r="D1" s="15" t="s">
        <v>50</v>
      </c>
      <c r="E1" s="15" t="s">
        <v>51</v>
      </c>
      <c r="F1" s="15" t="s">
        <v>52</v>
      </c>
      <c r="G1" s="15" t="s">
        <v>53</v>
      </c>
      <c r="H1" s="15" t="s">
        <v>54</v>
      </c>
      <c r="I1" s="15" t="s">
        <v>55</v>
      </c>
    </row>
    <row r="2" customFormat="false" ht="15" hidden="false" customHeight="false" outlineLevel="0" collapsed="false">
      <c r="A2" s="2" t="n">
        <v>1</v>
      </c>
      <c r="B2" s="2" t="s">
        <v>56</v>
      </c>
      <c r="C2" s="2" t="s">
        <v>57</v>
      </c>
      <c r="D2" s="16" t="n">
        <v>0.04</v>
      </c>
      <c r="E2" s="17" t="n">
        <v>50</v>
      </c>
      <c r="F2" s="2" t="s">
        <v>58</v>
      </c>
      <c r="G2" s="18" t="n">
        <f aca="false">IFERROR(D2/E2,0)</f>
        <v>0.0008</v>
      </c>
      <c r="H2" s="2" t="n">
        <v>0.025</v>
      </c>
      <c r="I2" s="2" t="n">
        <v>0.025</v>
      </c>
    </row>
    <row r="3" customFormat="false" ht="15" hidden="false" customHeight="false" outlineLevel="0" collapsed="false">
      <c r="A3" s="2" t="n">
        <v>2</v>
      </c>
      <c r="B3" s="2" t="s">
        <v>59</v>
      </c>
      <c r="C3" s="2" t="s">
        <v>57</v>
      </c>
      <c r="D3" s="16" t="n">
        <v>0.095</v>
      </c>
      <c r="E3" s="17" t="n">
        <v>55</v>
      </c>
      <c r="F3" s="2" t="s">
        <v>58</v>
      </c>
      <c r="G3" s="18" t="n">
        <f aca="false">IFERROR(D3/E3,0)</f>
        <v>0.00172727272727273</v>
      </c>
      <c r="H3" s="2" t="n">
        <v>0.08</v>
      </c>
      <c r="I3" s="2" t="n">
        <v>0.07</v>
      </c>
    </row>
    <row r="4" customFormat="false" ht="15" hidden="false" customHeight="false" outlineLevel="0" collapsed="false">
      <c r="A4" s="2" t="n">
        <v>3</v>
      </c>
      <c r="B4" s="2" t="s">
        <v>60</v>
      </c>
      <c r="C4" s="2" t="s">
        <v>57</v>
      </c>
      <c r="D4" s="16" t="n">
        <v>1.95</v>
      </c>
      <c r="E4" s="17" t="n">
        <v>1000</v>
      </c>
      <c r="F4" s="2" t="s">
        <v>58</v>
      </c>
      <c r="G4" s="18" t="n">
        <f aca="false">IFERROR(D4/E4,0)</f>
        <v>0.00195</v>
      </c>
      <c r="H4" s="2" t="n">
        <v>1.959</v>
      </c>
      <c r="I4" s="2" t="n">
        <v>1.087</v>
      </c>
    </row>
    <row r="5" customFormat="false" ht="15" hidden="false" customHeight="false" outlineLevel="0" collapsed="false">
      <c r="A5" s="2" t="n">
        <v>4</v>
      </c>
      <c r="B5" s="2" t="s">
        <v>61</v>
      </c>
      <c r="C5" s="2" t="s">
        <v>57</v>
      </c>
      <c r="D5" s="16" t="n">
        <v>0.4</v>
      </c>
      <c r="E5" s="17" t="n">
        <v>1000</v>
      </c>
      <c r="F5" s="2" t="s">
        <v>58</v>
      </c>
      <c r="G5" s="18" t="n">
        <f aca="false">IFERROR(D5/E5,0)</f>
        <v>0.0004</v>
      </c>
      <c r="H5" s="2" t="n">
        <v>0.274</v>
      </c>
      <c r="I5" s="2" t="n">
        <v>0.23</v>
      </c>
    </row>
    <row r="6" customFormat="false" ht="15" hidden="false" customHeight="false" outlineLevel="0" collapsed="false">
      <c r="A6" s="2" t="n">
        <v>5</v>
      </c>
      <c r="B6" s="2" t="s">
        <v>62</v>
      </c>
      <c r="C6" s="2" t="s">
        <v>57</v>
      </c>
      <c r="D6" s="16" t="n">
        <v>0.65</v>
      </c>
      <c r="E6" s="17" t="n">
        <v>1000</v>
      </c>
      <c r="F6" s="2" t="s">
        <v>58</v>
      </c>
      <c r="G6" s="18" t="n">
        <f aca="false">IFERROR(D6/E6,0)</f>
        <v>0.00065</v>
      </c>
      <c r="H6" s="2" t="n">
        <v>0.9</v>
      </c>
      <c r="I6" s="2" t="n">
        <v>0.375</v>
      </c>
    </row>
    <row r="7" customFormat="false" ht="15" hidden="false" customHeight="false" outlineLevel="0" collapsed="false">
      <c r="A7" s="2" t="n">
        <v>6</v>
      </c>
      <c r="B7" s="2" t="s">
        <v>63</v>
      </c>
      <c r="C7" s="2" t="s">
        <v>57</v>
      </c>
      <c r="D7" s="16" t="n">
        <v>0.85</v>
      </c>
      <c r="E7" s="17" t="n">
        <v>1000</v>
      </c>
      <c r="F7" s="2" t="s">
        <v>58</v>
      </c>
      <c r="G7" s="18" t="n">
        <f aca="false">IFERROR(D7/E7,0)</f>
        <v>0.00085</v>
      </c>
      <c r="H7" s="2" t="n">
        <v>0.45</v>
      </c>
      <c r="I7" s="2" t="n">
        <v>0.45</v>
      </c>
    </row>
    <row r="8" customFormat="false" ht="15" hidden="false" customHeight="false" outlineLevel="0" collapsed="false">
      <c r="A8" s="2" t="n">
        <v>7</v>
      </c>
      <c r="B8" s="2" t="s">
        <v>64</v>
      </c>
      <c r="C8" s="2" t="s">
        <v>57</v>
      </c>
      <c r="D8" s="16" t="n">
        <v>0.45</v>
      </c>
      <c r="E8" s="17" t="n">
        <v>1000</v>
      </c>
      <c r="F8" s="2" t="s">
        <v>58</v>
      </c>
      <c r="G8" s="18" t="n">
        <f aca="false">IFERROR(D8/E8,0)</f>
        <v>0.00045</v>
      </c>
      <c r="H8" s="2" t="n">
        <v>0.55</v>
      </c>
      <c r="I8" s="2" t="n">
        <v>0.35</v>
      </c>
    </row>
    <row r="9" customFormat="false" ht="15" hidden="false" customHeight="false" outlineLevel="0" collapsed="false">
      <c r="A9" s="2" t="n">
        <v>8</v>
      </c>
      <c r="B9" s="2" t="s">
        <v>65</v>
      </c>
      <c r="C9" s="2" t="s">
        <v>57</v>
      </c>
      <c r="D9" s="16" t="n">
        <v>0.09</v>
      </c>
      <c r="E9" s="17" t="n">
        <v>60</v>
      </c>
      <c r="F9" s="2" t="s">
        <v>58</v>
      </c>
      <c r="G9" s="18" t="n">
        <f aca="false">IFERROR(D9/E9,0)</f>
        <v>0.0015</v>
      </c>
      <c r="H9" s="2" t="n">
        <v>0.097</v>
      </c>
      <c r="I9" s="2" t="n">
        <v>0.08</v>
      </c>
    </row>
    <row r="10" customFormat="false" ht="15" hidden="false" customHeight="false" outlineLevel="0" collapsed="false">
      <c r="A10" s="2" t="n">
        <v>9</v>
      </c>
      <c r="B10" s="2" t="s">
        <v>66</v>
      </c>
      <c r="C10" s="2" t="s">
        <v>57</v>
      </c>
      <c r="D10" s="16" t="n">
        <v>0.55</v>
      </c>
      <c r="E10" s="17" t="n">
        <v>1000</v>
      </c>
      <c r="F10" s="2" t="s">
        <v>58</v>
      </c>
      <c r="G10" s="18" t="n">
        <f aca="false">IFERROR(D10/E10,0)</f>
        <v>0.00055</v>
      </c>
      <c r="H10" s="2" t="n">
        <v>0.58</v>
      </c>
      <c r="I10" s="2" t="n">
        <v>0.36</v>
      </c>
    </row>
    <row r="11" customFormat="false" ht="15" hidden="false" customHeight="false" outlineLevel="0" collapsed="false">
      <c r="A11" s="2" t="n">
        <v>10</v>
      </c>
      <c r="B11" s="2" t="s">
        <v>67</v>
      </c>
      <c r="C11" s="2" t="s">
        <v>57</v>
      </c>
      <c r="D11" s="16" t="n">
        <v>1.5</v>
      </c>
      <c r="E11" s="17" t="n">
        <v>1000</v>
      </c>
      <c r="F11" s="2" t="s">
        <v>58</v>
      </c>
      <c r="G11" s="18" t="n">
        <f aca="false">IFERROR(D11/E11,0)</f>
        <v>0.0015</v>
      </c>
      <c r="H11" s="2" t="n">
        <v>1.4</v>
      </c>
      <c r="I11" s="2" t="n">
        <v>1.2</v>
      </c>
    </row>
    <row r="12" customFormat="false" ht="15" hidden="false" customHeight="false" outlineLevel="0" collapsed="false">
      <c r="A12" s="2" t="n">
        <v>11</v>
      </c>
      <c r="B12" s="2" t="s">
        <v>68</v>
      </c>
      <c r="C12" s="2" t="s">
        <v>57</v>
      </c>
      <c r="D12" s="16" t="n">
        <v>0.65</v>
      </c>
      <c r="E12" s="17" t="n">
        <v>1000</v>
      </c>
      <c r="F12" s="2" t="s">
        <v>58</v>
      </c>
      <c r="G12" s="18" t="n">
        <f aca="false">IFERROR(D12/E12,0)</f>
        <v>0.00065</v>
      </c>
      <c r="H12" s="2" t="n">
        <v>0.85</v>
      </c>
      <c r="I12" s="2" t="n">
        <v>0.571</v>
      </c>
    </row>
    <row r="13" customFormat="false" ht="15" hidden="false" customHeight="false" outlineLevel="0" collapsed="false">
      <c r="A13" s="2" t="n">
        <v>12</v>
      </c>
      <c r="B13" s="2" t="s">
        <v>69</v>
      </c>
      <c r="C13" s="2" t="s">
        <v>57</v>
      </c>
      <c r="D13" s="16" t="n">
        <v>1.2</v>
      </c>
      <c r="E13" s="17" t="n">
        <v>1000</v>
      </c>
      <c r="F13" s="2" t="s">
        <v>58</v>
      </c>
      <c r="G13" s="18" t="n">
        <f aca="false">IFERROR(D13/E13,0)</f>
        <v>0.0012</v>
      </c>
      <c r="H13" s="2" t="n">
        <v>0.5</v>
      </c>
      <c r="I13" s="2" t="n">
        <v>0.5</v>
      </c>
    </row>
    <row r="14" customFormat="false" ht="15" hidden="false" customHeight="false" outlineLevel="0" collapsed="false">
      <c r="A14" s="2" t="n">
        <v>13</v>
      </c>
      <c r="B14" s="2" t="s">
        <v>70</v>
      </c>
      <c r="C14" s="2" t="s">
        <v>57</v>
      </c>
      <c r="D14" s="16" t="n">
        <v>2</v>
      </c>
      <c r="E14" s="17" t="n">
        <v>1000</v>
      </c>
      <c r="F14" s="2" t="s">
        <v>58</v>
      </c>
      <c r="G14" s="18" t="n">
        <f aca="false">IFERROR(D14/E14,0)</f>
        <v>0.002</v>
      </c>
      <c r="H14" s="2" t="n">
        <v>1.26</v>
      </c>
      <c r="I14" s="2" t="n">
        <v>0.75</v>
      </c>
    </row>
    <row r="15" customFormat="false" ht="15" hidden="false" customHeight="false" outlineLevel="0" collapsed="false">
      <c r="A15" s="2" t="n">
        <v>14</v>
      </c>
      <c r="B15" s="2" t="s">
        <v>71</v>
      </c>
      <c r="C15" s="2" t="s">
        <v>57</v>
      </c>
      <c r="D15" s="16" t="n">
        <v>0.8</v>
      </c>
      <c r="E15" s="17" t="n">
        <v>1000</v>
      </c>
      <c r="F15" s="2" t="s">
        <v>58</v>
      </c>
      <c r="G15" s="18" t="n">
        <f aca="false">IFERROR(D15/E15,0)</f>
        <v>0.0008</v>
      </c>
      <c r="H15" s="2" t="n">
        <v>0.7</v>
      </c>
      <c r="I15" s="2" t="n">
        <v>0.5</v>
      </c>
    </row>
    <row r="16" customFormat="false" ht="15" hidden="false" customHeight="false" outlineLevel="0" collapsed="false">
      <c r="A16" s="2" t="n">
        <v>15</v>
      </c>
      <c r="B16" s="2" t="s">
        <v>72</v>
      </c>
      <c r="C16" s="2" t="s">
        <v>57</v>
      </c>
      <c r="D16" s="16" t="n">
        <v>1.1</v>
      </c>
      <c r="E16" s="17" t="n">
        <v>1000</v>
      </c>
      <c r="F16" s="2" t="s">
        <v>58</v>
      </c>
      <c r="G16" s="18" t="n">
        <f aca="false">IFERROR(D16/E16,0)</f>
        <v>0.0011</v>
      </c>
      <c r="H16" s="2" t="n">
        <v>1.2</v>
      </c>
      <c r="I16" s="2" t="n">
        <v>1</v>
      </c>
    </row>
    <row r="17" customFormat="false" ht="15" hidden="false" customHeight="false" outlineLevel="0" collapsed="false">
      <c r="A17" s="2" t="n">
        <v>16</v>
      </c>
      <c r="B17" s="2" t="s">
        <v>73</v>
      </c>
      <c r="C17" s="2" t="s">
        <v>57</v>
      </c>
      <c r="D17" s="16" t="n">
        <v>1</v>
      </c>
      <c r="E17" s="17" t="n">
        <v>1000</v>
      </c>
      <c r="F17" s="2" t="s">
        <v>58</v>
      </c>
      <c r="G17" s="18" t="n">
        <f aca="false">IFERROR(D17/E17,0)</f>
        <v>0.001</v>
      </c>
      <c r="H17" s="2" t="n">
        <v>0.76</v>
      </c>
      <c r="I17" s="2" t="n">
        <v>0.533</v>
      </c>
    </row>
    <row r="18" customFormat="false" ht="15" hidden="false" customHeight="false" outlineLevel="0" collapsed="false">
      <c r="A18" s="2" t="n">
        <v>17</v>
      </c>
      <c r="B18" s="2" t="s">
        <v>74</v>
      </c>
      <c r="C18" s="2" t="s">
        <v>57</v>
      </c>
      <c r="D18" s="16" t="n">
        <v>1.1</v>
      </c>
      <c r="E18" s="17" t="n">
        <v>1000</v>
      </c>
      <c r="F18" s="2" t="s">
        <v>58</v>
      </c>
      <c r="G18" s="18" t="n">
        <f aca="false">IFERROR(D18/E18,0)</f>
        <v>0.0011</v>
      </c>
      <c r="H18" s="2" t="n">
        <v>1</v>
      </c>
      <c r="I18" s="2" t="n">
        <v>0.666</v>
      </c>
    </row>
    <row r="19" customFormat="false" ht="15" hidden="false" customHeight="false" outlineLevel="0" collapsed="false">
      <c r="A19" s="2" t="n">
        <v>18</v>
      </c>
      <c r="B19" s="2" t="s">
        <v>75</v>
      </c>
      <c r="C19" s="2" t="s">
        <v>57</v>
      </c>
      <c r="D19" s="16" t="n">
        <v>0.1</v>
      </c>
      <c r="E19" s="17" t="n">
        <v>55</v>
      </c>
      <c r="F19" s="2" t="s">
        <v>58</v>
      </c>
      <c r="G19" s="18" t="n">
        <f aca="false">IFERROR(D19/E19,0)</f>
        <v>0.00181818181818182</v>
      </c>
      <c r="H19" s="2" t="n">
        <v>0.11</v>
      </c>
      <c r="I19" s="2" t="n">
        <v>0.089</v>
      </c>
    </row>
    <row r="20" customFormat="false" ht="15" hidden="false" customHeight="false" outlineLevel="0" collapsed="false">
      <c r="A20" s="2" t="n">
        <v>19</v>
      </c>
      <c r="B20" s="2" t="s">
        <v>76</v>
      </c>
      <c r="C20" s="2" t="s">
        <v>57</v>
      </c>
      <c r="D20" s="16" t="n">
        <v>0.45</v>
      </c>
      <c r="E20" s="17" t="n">
        <v>1000</v>
      </c>
      <c r="F20" s="2" t="s">
        <v>58</v>
      </c>
      <c r="G20" s="18" t="n">
        <f aca="false">IFERROR(D20/E20,0)</f>
        <v>0.00045</v>
      </c>
      <c r="H20" s="2" t="n">
        <v>0.2</v>
      </c>
      <c r="I20" s="2" t="n">
        <v>0.129</v>
      </c>
    </row>
    <row r="21" customFormat="false" ht="15" hidden="false" customHeight="false" outlineLevel="0" collapsed="false">
      <c r="A21" s="2" t="n">
        <v>20</v>
      </c>
      <c r="B21" s="2" t="s">
        <v>77</v>
      </c>
      <c r="C21" s="2" t="s">
        <v>57</v>
      </c>
      <c r="D21" s="16" t="n">
        <v>1.35</v>
      </c>
      <c r="E21" s="17" t="n">
        <v>1000</v>
      </c>
      <c r="F21" s="2" t="s">
        <v>58</v>
      </c>
      <c r="G21" s="18" t="n">
        <f aca="false">IFERROR(D21/E21,0)</f>
        <v>0.00135</v>
      </c>
      <c r="H21" s="2" t="n">
        <v>1.949</v>
      </c>
      <c r="I21" s="2" t="n">
        <v>0.9</v>
      </c>
    </row>
    <row r="22" customFormat="false" ht="15" hidden="false" customHeight="false" outlineLevel="0" collapsed="false">
      <c r="A22" s="2" t="n">
        <v>21</v>
      </c>
      <c r="B22" s="2" t="s">
        <v>78</v>
      </c>
      <c r="C22" s="2" t="s">
        <v>57</v>
      </c>
      <c r="D22" s="16" t="n">
        <v>0.1</v>
      </c>
      <c r="E22" s="17" t="n">
        <v>55</v>
      </c>
      <c r="F22" s="2" t="s">
        <v>58</v>
      </c>
      <c r="G22" s="18" t="n">
        <f aca="false">IFERROR(D22/E22,0)</f>
        <v>0.00181818181818182</v>
      </c>
      <c r="H22" s="2" t="n">
        <v>0.12</v>
      </c>
      <c r="I22" s="2" t="n">
        <v>0.084</v>
      </c>
    </row>
    <row r="23" customFormat="false" ht="15" hidden="false" customHeight="false" outlineLevel="0" collapsed="false">
      <c r="A23" s="2" t="n">
        <v>22</v>
      </c>
      <c r="B23" s="2" t="s">
        <v>79</v>
      </c>
      <c r="C23" s="2" t="s">
        <v>57</v>
      </c>
      <c r="D23" s="16" t="n">
        <v>0.36</v>
      </c>
      <c r="E23" s="17" t="n">
        <v>1000</v>
      </c>
      <c r="F23" s="2" t="s">
        <v>58</v>
      </c>
      <c r="G23" s="18" t="n">
        <f aca="false">IFERROR(D23/E23,0)</f>
        <v>0.00036</v>
      </c>
      <c r="H23" s="2" t="n">
        <v>0.25</v>
      </c>
      <c r="I23" s="2" t="n">
        <v>0.175</v>
      </c>
    </row>
    <row r="24" customFormat="false" ht="15" hidden="false" customHeight="false" outlineLevel="0" collapsed="false">
      <c r="A24" s="2" t="n">
        <v>23</v>
      </c>
      <c r="B24" s="2" t="s">
        <v>80</v>
      </c>
      <c r="C24" s="2" t="s">
        <v>57</v>
      </c>
      <c r="D24" s="16" t="n">
        <v>0.04</v>
      </c>
      <c r="E24" s="17" t="n">
        <v>50</v>
      </c>
      <c r="F24" s="2" t="s">
        <v>58</v>
      </c>
      <c r="G24" s="18" t="n">
        <f aca="false">IFERROR(D24/E24,0)</f>
        <v>0.0008</v>
      </c>
      <c r="H24" s="2" t="n">
        <v>0.02</v>
      </c>
      <c r="I24" s="2" t="n">
        <v>0.02</v>
      </c>
    </row>
    <row r="25" customFormat="false" ht="15" hidden="false" customHeight="false" outlineLevel="0" collapsed="false">
      <c r="A25" s="2" t="n">
        <v>24</v>
      </c>
      <c r="B25" s="2" t="s">
        <v>81</v>
      </c>
      <c r="C25" s="2" t="s">
        <v>57</v>
      </c>
      <c r="D25" s="16" t="n">
        <v>0.5</v>
      </c>
      <c r="E25" s="17" t="n">
        <v>1000</v>
      </c>
      <c r="F25" s="2" t="s">
        <v>58</v>
      </c>
      <c r="G25" s="18" t="n">
        <f aca="false">IFERROR(D25/E25,0)</f>
        <v>0.0005</v>
      </c>
      <c r="H25" s="2" t="n">
        <v>0.625</v>
      </c>
      <c r="I25" s="2" t="n">
        <v>0.5</v>
      </c>
    </row>
    <row r="26" customFormat="false" ht="15" hidden="false" customHeight="false" outlineLevel="0" collapsed="false">
      <c r="A26" s="2" t="n">
        <v>25</v>
      </c>
      <c r="B26" s="2" t="s">
        <v>28</v>
      </c>
      <c r="C26" s="2" t="s">
        <v>82</v>
      </c>
      <c r="D26" s="16" t="n">
        <v>0.73</v>
      </c>
      <c r="E26" s="17" t="n">
        <v>1000</v>
      </c>
      <c r="F26" s="2" t="s">
        <v>58</v>
      </c>
      <c r="G26" s="18" t="n">
        <f aca="false">IFERROR(D26/E26,0)</f>
        <v>0.00073</v>
      </c>
      <c r="H26" s="2" t="n">
        <v>0.8</v>
      </c>
      <c r="I26" s="2" t="n">
        <v>0.5</v>
      </c>
    </row>
    <row r="27" customFormat="false" ht="15" hidden="false" customHeight="false" outlineLevel="0" collapsed="false">
      <c r="A27" s="2" t="n">
        <v>26</v>
      </c>
      <c r="B27" s="2" t="s">
        <v>83</v>
      </c>
      <c r="C27" s="2" t="s">
        <v>82</v>
      </c>
      <c r="D27" s="16" t="n">
        <v>1.55</v>
      </c>
      <c r="E27" s="17" t="n">
        <v>1000</v>
      </c>
      <c r="F27" s="2" t="s">
        <v>58</v>
      </c>
      <c r="G27" s="18" t="n">
        <f aca="false">IFERROR(D27/E27,0)</f>
        <v>0.00155</v>
      </c>
      <c r="H27" s="2" t="n">
        <v>1.21</v>
      </c>
      <c r="I27" s="2" t="n">
        <v>0.666</v>
      </c>
    </row>
    <row r="28" customFormat="false" ht="15" hidden="false" customHeight="false" outlineLevel="0" collapsed="false">
      <c r="A28" s="2" t="n">
        <v>27</v>
      </c>
      <c r="B28" s="2" t="s">
        <v>84</v>
      </c>
      <c r="C28" s="2" t="s">
        <v>82</v>
      </c>
      <c r="D28" s="16" t="n">
        <v>0.66</v>
      </c>
      <c r="E28" s="17" t="n">
        <v>1000</v>
      </c>
      <c r="F28" s="2" t="s">
        <v>58</v>
      </c>
      <c r="G28" s="18" t="n">
        <f aca="false">IFERROR(D28/E28,0)</f>
        <v>0.00066</v>
      </c>
      <c r="H28" s="2" t="n">
        <v>1.036</v>
      </c>
      <c r="I28" s="2" t="n">
        <v>0.84</v>
      </c>
    </row>
    <row r="29" customFormat="false" ht="15" hidden="false" customHeight="false" outlineLevel="0" collapsed="false">
      <c r="A29" s="2" t="n">
        <v>28</v>
      </c>
      <c r="B29" s="2" t="s">
        <v>85</v>
      </c>
      <c r="C29" s="2" t="s">
        <v>82</v>
      </c>
      <c r="D29" s="16" t="n">
        <v>0.581</v>
      </c>
      <c r="E29" s="17" t="n">
        <v>1000</v>
      </c>
      <c r="F29" s="2" t="s">
        <v>58</v>
      </c>
      <c r="G29" s="18" t="n">
        <f aca="false">IFERROR(D29/E29,0)</f>
        <v>0.000581</v>
      </c>
      <c r="H29" s="2" t="n">
        <v>0.7</v>
      </c>
      <c r="I29" s="2" t="n">
        <v>0.433</v>
      </c>
    </row>
    <row r="30" customFormat="false" ht="15" hidden="false" customHeight="false" outlineLevel="0" collapsed="false">
      <c r="A30" s="2" t="n">
        <v>29</v>
      </c>
      <c r="B30" s="2" t="s">
        <v>86</v>
      </c>
      <c r="C30" s="2" t="s">
        <v>82</v>
      </c>
      <c r="D30" s="16" t="n">
        <v>0.4</v>
      </c>
      <c r="E30" s="17" t="n">
        <v>1000</v>
      </c>
      <c r="F30" s="2" t="s">
        <v>58</v>
      </c>
      <c r="G30" s="18" t="n">
        <f aca="false">IFERROR(D30/E30,0)</f>
        <v>0.0004</v>
      </c>
      <c r="H30" s="2" t="n">
        <v>0.78</v>
      </c>
      <c r="I30" s="2"/>
    </row>
    <row r="31" customFormat="false" ht="15" hidden="false" customHeight="false" outlineLevel="0" collapsed="false">
      <c r="A31" s="2" t="n">
        <v>30</v>
      </c>
      <c r="B31" s="2" t="s">
        <v>32</v>
      </c>
      <c r="C31" s="2" t="s">
        <v>82</v>
      </c>
      <c r="D31" s="16" t="n">
        <v>0.45</v>
      </c>
      <c r="E31" s="17" t="n">
        <v>1000</v>
      </c>
      <c r="F31" s="2" t="s">
        <v>58</v>
      </c>
      <c r="G31" s="18" t="n">
        <f aca="false">IFERROR(D31/E31,0)</f>
        <v>0.00045</v>
      </c>
      <c r="H31" s="2" t="n">
        <v>0.5</v>
      </c>
      <c r="I31" s="2"/>
    </row>
    <row r="32" customFormat="false" ht="15" hidden="false" customHeight="false" outlineLevel="0" collapsed="false">
      <c r="A32" s="2" t="n">
        <v>31</v>
      </c>
      <c r="B32" s="2" t="s">
        <v>33</v>
      </c>
      <c r="C32" s="2" t="s">
        <v>82</v>
      </c>
      <c r="D32" s="16" t="n">
        <v>0</v>
      </c>
      <c r="E32" s="17" t="n">
        <v>1000</v>
      </c>
      <c r="F32" s="2" t="s">
        <v>58</v>
      </c>
      <c r="G32" s="18" t="n">
        <f aca="false">IFERROR(D32/E32,0)</f>
        <v>0</v>
      </c>
      <c r="H32" s="2" t="n">
        <v>0</v>
      </c>
      <c r="I32" s="2"/>
    </row>
    <row r="33" customFormat="false" ht="15" hidden="false" customHeight="false" outlineLevel="0" collapsed="false">
      <c r="A33" s="2" t="n">
        <v>32</v>
      </c>
      <c r="B33" s="2" t="s">
        <v>87</v>
      </c>
      <c r="C33" s="2" t="s">
        <v>82</v>
      </c>
      <c r="D33" s="16" t="n">
        <v>0.454</v>
      </c>
      <c r="E33" s="17" t="n">
        <v>1000</v>
      </c>
      <c r="F33" s="2" t="s">
        <v>58</v>
      </c>
      <c r="G33" s="18" t="n">
        <f aca="false">IFERROR(D33/E33,0)</f>
        <v>0.000454</v>
      </c>
      <c r="H33" s="2" t="n">
        <v>0.55</v>
      </c>
      <c r="I33" s="2" t="n">
        <v>0.433</v>
      </c>
    </row>
    <row r="34" customFormat="false" ht="15" hidden="false" customHeight="false" outlineLevel="0" collapsed="false">
      <c r="A34" s="2" t="n">
        <v>33</v>
      </c>
      <c r="B34" s="2" t="s">
        <v>88</v>
      </c>
      <c r="C34" s="2" t="s">
        <v>82</v>
      </c>
      <c r="D34" s="16" t="n">
        <v>0.668</v>
      </c>
      <c r="E34" s="17" t="n">
        <v>1000</v>
      </c>
      <c r="F34" s="2" t="s">
        <v>58</v>
      </c>
      <c r="G34" s="18" t="n">
        <f aca="false">IFERROR(D34/E34,0)</f>
        <v>0.000668</v>
      </c>
      <c r="H34" s="2" t="n">
        <v>0.74</v>
      </c>
      <c r="I34" s="2" t="n">
        <v>0.566</v>
      </c>
    </row>
    <row r="35" customFormat="false" ht="15" hidden="false" customHeight="false" outlineLevel="0" collapsed="false">
      <c r="A35" s="2" t="n">
        <v>34</v>
      </c>
      <c r="B35" s="2" t="s">
        <v>89</v>
      </c>
      <c r="C35" s="2" t="s">
        <v>82</v>
      </c>
      <c r="D35" s="16" t="n">
        <v>0.575</v>
      </c>
      <c r="E35" s="17" t="n">
        <v>1000</v>
      </c>
      <c r="F35" s="2" t="s">
        <v>58</v>
      </c>
      <c r="G35" s="18" t="n">
        <f aca="false">IFERROR(D35/E35,0)</f>
        <v>0.000575</v>
      </c>
      <c r="H35" s="2" t="n">
        <v>0.525</v>
      </c>
      <c r="I35" s="2" t="n">
        <v>0.425</v>
      </c>
    </row>
    <row r="36" customFormat="false" ht="15" hidden="false" customHeight="false" outlineLevel="0" collapsed="false">
      <c r="A36" s="2" t="n">
        <v>35</v>
      </c>
      <c r="B36" s="2" t="s">
        <v>90</v>
      </c>
      <c r="C36" s="2" t="s">
        <v>82</v>
      </c>
      <c r="D36" s="16" t="n">
        <v>1.75</v>
      </c>
      <c r="E36" s="17" t="n">
        <v>1000</v>
      </c>
      <c r="F36" s="2" t="s">
        <v>58</v>
      </c>
      <c r="G36" s="18" t="n">
        <f aca="false">IFERROR(D36/E36,0)</f>
        <v>0.00175</v>
      </c>
      <c r="H36" s="2" t="n">
        <v>1.65</v>
      </c>
      <c r="I36" s="2" t="n">
        <v>1.3</v>
      </c>
    </row>
    <row r="37" customFormat="false" ht="15" hidden="false" customHeight="false" outlineLevel="0" collapsed="false">
      <c r="A37" s="2" t="n">
        <v>36</v>
      </c>
      <c r="B37" s="2" t="s">
        <v>91</v>
      </c>
      <c r="C37" s="2" t="s">
        <v>82</v>
      </c>
      <c r="D37" s="16" t="n">
        <v>0.3</v>
      </c>
      <c r="E37" s="17" t="n">
        <v>1000</v>
      </c>
      <c r="F37" s="2" t="s">
        <v>58</v>
      </c>
      <c r="G37" s="18" t="n">
        <f aca="false">IFERROR(D37/E37,0)</f>
        <v>0.0003</v>
      </c>
      <c r="H37" s="2" t="n">
        <v>0.25</v>
      </c>
      <c r="I37" s="2"/>
    </row>
    <row r="38" customFormat="false" ht="15" hidden="false" customHeight="false" outlineLevel="0" collapsed="false">
      <c r="A38" s="2" t="n">
        <v>37</v>
      </c>
      <c r="B38" s="2" t="s">
        <v>92</v>
      </c>
      <c r="C38" s="2" t="s">
        <v>82</v>
      </c>
      <c r="D38" s="16" t="n">
        <v>0.3</v>
      </c>
      <c r="E38" s="17" t="n">
        <v>1000</v>
      </c>
      <c r="F38" s="2" t="s">
        <v>58</v>
      </c>
      <c r="G38" s="18" t="n">
        <f aca="false">IFERROR(D38/E38,0)</f>
        <v>0.0003</v>
      </c>
      <c r="H38" s="2" t="n">
        <v>0.4</v>
      </c>
      <c r="I38" s="2"/>
    </row>
    <row r="39" customFormat="false" ht="15" hidden="false" customHeight="false" outlineLevel="0" collapsed="false">
      <c r="A39" s="2" t="n">
        <v>38</v>
      </c>
      <c r="B39" s="2" t="s">
        <v>93</v>
      </c>
      <c r="C39" s="2" t="s">
        <v>82</v>
      </c>
      <c r="D39" s="16" t="n">
        <v>0.818</v>
      </c>
      <c r="E39" s="17" t="n">
        <v>1000</v>
      </c>
      <c r="F39" s="2" t="s">
        <v>58</v>
      </c>
      <c r="G39" s="18" t="n">
        <f aca="false">IFERROR(D39/E39,0)</f>
        <v>0.000818</v>
      </c>
      <c r="H39" s="2" t="n">
        <v>0.9</v>
      </c>
      <c r="I39" s="2" t="n">
        <v>0.766</v>
      </c>
    </row>
    <row r="40" customFormat="false" ht="15" hidden="false" customHeight="false" outlineLevel="0" collapsed="false">
      <c r="A40" s="2" t="n">
        <v>39</v>
      </c>
      <c r="B40" s="2" t="s">
        <v>94</v>
      </c>
      <c r="C40" s="2" t="s">
        <v>95</v>
      </c>
      <c r="D40" s="16" t="n">
        <v>4.09</v>
      </c>
      <c r="E40" s="17" t="n">
        <v>1000</v>
      </c>
      <c r="F40" s="2" t="s">
        <v>58</v>
      </c>
      <c r="G40" s="18" t="n">
        <f aca="false">IFERROR(D40/E40,0)</f>
        <v>0.00409</v>
      </c>
      <c r="H40" s="2" t="n">
        <v>4.18</v>
      </c>
      <c r="I40" s="2"/>
    </row>
    <row r="41" customFormat="false" ht="15" hidden="false" customHeight="false" outlineLevel="0" collapsed="false">
      <c r="A41" s="2" t="n">
        <v>40</v>
      </c>
      <c r="B41" s="2" t="s">
        <v>96</v>
      </c>
      <c r="C41" s="2" t="s">
        <v>95</v>
      </c>
      <c r="D41" s="16" t="n">
        <v>2.272</v>
      </c>
      <c r="E41" s="17" t="n">
        <v>1000</v>
      </c>
      <c r="F41" s="2" t="s">
        <v>58</v>
      </c>
      <c r="G41" s="18" t="n">
        <f aca="false">IFERROR(D41/E41,0)</f>
        <v>0.002272</v>
      </c>
      <c r="H41" s="2" t="n">
        <v>4.62</v>
      </c>
      <c r="I41" s="2"/>
    </row>
    <row r="42" customFormat="false" ht="15" hidden="false" customHeight="false" outlineLevel="0" collapsed="false">
      <c r="A42" s="2" t="n">
        <v>41</v>
      </c>
      <c r="B42" s="2" t="s">
        <v>97</v>
      </c>
      <c r="C42" s="2" t="s">
        <v>95</v>
      </c>
      <c r="D42" s="16" t="n">
        <v>4.62</v>
      </c>
      <c r="E42" s="17" t="n">
        <v>1000</v>
      </c>
      <c r="F42" s="2" t="s">
        <v>58</v>
      </c>
      <c r="G42" s="18" t="n">
        <f aca="false">IFERROR(D42/E42,0)</f>
        <v>0.00462</v>
      </c>
      <c r="H42" s="2" t="n">
        <v>0</v>
      </c>
      <c r="I42" s="2"/>
    </row>
    <row r="43" customFormat="false" ht="15" hidden="false" customHeight="false" outlineLevel="0" collapsed="false">
      <c r="A43" s="2" t="n">
        <v>42</v>
      </c>
      <c r="B43" s="2" t="s">
        <v>98</v>
      </c>
      <c r="C43" s="2" t="s">
        <v>95</v>
      </c>
      <c r="D43" s="16" t="n">
        <v>1.76</v>
      </c>
      <c r="E43" s="17" t="n">
        <v>1000</v>
      </c>
      <c r="F43" s="2" t="s">
        <v>58</v>
      </c>
      <c r="G43" s="18" t="n">
        <f aca="false">IFERROR(D43/E43,0)</f>
        <v>0.00176</v>
      </c>
      <c r="H43" s="2" t="n">
        <v>1.6</v>
      </c>
      <c r="I43" s="2"/>
    </row>
    <row r="44" customFormat="false" ht="15" hidden="false" customHeight="false" outlineLevel="0" collapsed="false">
      <c r="A44" s="2" t="n">
        <v>43</v>
      </c>
      <c r="B44" s="2" t="s">
        <v>99</v>
      </c>
      <c r="C44" s="2" t="s">
        <v>95</v>
      </c>
      <c r="D44" s="16" t="n">
        <v>1.8</v>
      </c>
      <c r="E44" s="17" t="n">
        <v>1000</v>
      </c>
      <c r="F44" s="2" t="s">
        <v>58</v>
      </c>
      <c r="G44" s="18" t="n">
        <f aca="false">IFERROR(D44/E44,0)</f>
        <v>0.0018</v>
      </c>
      <c r="H44" s="2" t="n">
        <v>1.3</v>
      </c>
      <c r="I44" s="2"/>
    </row>
    <row r="45" customFormat="false" ht="15" hidden="false" customHeight="false" outlineLevel="0" collapsed="false">
      <c r="A45" s="2" t="n">
        <v>44</v>
      </c>
      <c r="B45" s="2" t="s">
        <v>100</v>
      </c>
      <c r="C45" s="2" t="s">
        <v>95</v>
      </c>
      <c r="D45" s="16" t="n">
        <v>1.65</v>
      </c>
      <c r="E45" s="17" t="n">
        <v>1000</v>
      </c>
      <c r="F45" s="2" t="s">
        <v>58</v>
      </c>
      <c r="G45" s="18" t="n">
        <f aca="false">IFERROR(D45/E45,0)</f>
        <v>0.00165</v>
      </c>
      <c r="H45" s="2" t="n">
        <v>1.5</v>
      </c>
      <c r="I45" s="2"/>
    </row>
    <row r="46" customFormat="false" ht="15" hidden="false" customHeight="false" outlineLevel="0" collapsed="false">
      <c r="A46" s="2" t="n">
        <v>45</v>
      </c>
      <c r="B46" s="2" t="s">
        <v>101</v>
      </c>
      <c r="C46" s="2" t="s">
        <v>95</v>
      </c>
      <c r="D46" s="16" t="n">
        <v>5.3636</v>
      </c>
      <c r="E46" s="17" t="n">
        <v>1000</v>
      </c>
      <c r="F46" s="2" t="s">
        <v>58</v>
      </c>
      <c r="G46" s="18" t="n">
        <f aca="false">IFERROR(D46/E46,0)</f>
        <v>0.0053636</v>
      </c>
      <c r="H46" s="2" t="n">
        <v>6.5</v>
      </c>
      <c r="I46" s="2"/>
    </row>
    <row r="47" customFormat="false" ht="15" hidden="false" customHeight="false" outlineLevel="0" collapsed="false">
      <c r="A47" s="2" t="n">
        <v>46</v>
      </c>
      <c r="B47" s="2" t="s">
        <v>102</v>
      </c>
      <c r="C47" s="2" t="s">
        <v>95</v>
      </c>
      <c r="D47" s="16" t="n">
        <v>2.818</v>
      </c>
      <c r="E47" s="17" t="n">
        <v>1000</v>
      </c>
      <c r="F47" s="2" t="s">
        <v>58</v>
      </c>
      <c r="G47" s="18" t="n">
        <f aca="false">IFERROR(D47/E47,0)</f>
        <v>0.002818</v>
      </c>
      <c r="H47" s="2" t="n">
        <v>3.1</v>
      </c>
      <c r="I47" s="2"/>
    </row>
    <row r="48" customFormat="false" ht="15" hidden="false" customHeight="false" outlineLevel="0" collapsed="false">
      <c r="A48" s="2" t="n">
        <v>47</v>
      </c>
      <c r="B48" s="2" t="s">
        <v>103</v>
      </c>
      <c r="C48" s="2" t="s">
        <v>95</v>
      </c>
      <c r="D48" s="16" t="n">
        <v>2.8</v>
      </c>
      <c r="E48" s="17" t="n">
        <v>1000</v>
      </c>
      <c r="F48" s="2" t="s">
        <v>58</v>
      </c>
      <c r="G48" s="18" t="n">
        <f aca="false">IFERROR(D48/E48,0)</f>
        <v>0.0028</v>
      </c>
      <c r="H48" s="2" t="n">
        <v>5.6</v>
      </c>
      <c r="I48" s="2"/>
    </row>
    <row r="49" customFormat="false" ht="15" hidden="false" customHeight="false" outlineLevel="0" collapsed="false">
      <c r="A49" s="2" t="n">
        <v>48</v>
      </c>
      <c r="B49" s="2" t="s">
        <v>104</v>
      </c>
      <c r="C49" s="2" t="s">
        <v>95</v>
      </c>
      <c r="D49" s="16" t="n">
        <v>2.3636</v>
      </c>
      <c r="E49" s="17" t="n">
        <v>1000</v>
      </c>
      <c r="F49" s="2" t="s">
        <v>58</v>
      </c>
      <c r="G49" s="18" t="n">
        <f aca="false">IFERROR(D49/E49,0)</f>
        <v>0.0023636</v>
      </c>
      <c r="H49" s="2" t="n">
        <v>2.6</v>
      </c>
      <c r="I49" s="2"/>
    </row>
    <row r="50" customFormat="false" ht="15" hidden="false" customHeight="false" outlineLevel="0" collapsed="false">
      <c r="A50" s="2" t="n">
        <v>49</v>
      </c>
      <c r="B50" s="2" t="s">
        <v>105</v>
      </c>
      <c r="C50" s="2" t="s">
        <v>95</v>
      </c>
      <c r="D50" s="16" t="n">
        <v>2.6454</v>
      </c>
      <c r="E50" s="17" t="n">
        <v>1000</v>
      </c>
      <c r="F50" s="2" t="s">
        <v>58</v>
      </c>
      <c r="G50" s="18" t="n">
        <f aca="false">IFERROR(D50/E50,0)</f>
        <v>0.0026454</v>
      </c>
      <c r="H50" s="2" t="n">
        <v>2.91</v>
      </c>
      <c r="I50" s="2"/>
    </row>
    <row r="51" customFormat="false" ht="15" hidden="false" customHeight="false" outlineLevel="0" collapsed="false">
      <c r="A51" s="2" t="n">
        <v>50</v>
      </c>
      <c r="B51" s="2" t="s">
        <v>106</v>
      </c>
      <c r="C51" s="2" t="s">
        <v>95</v>
      </c>
      <c r="D51" s="16" t="n">
        <v>16</v>
      </c>
      <c r="E51" s="17" t="n">
        <v>1000</v>
      </c>
      <c r="F51" s="2" t="s">
        <v>58</v>
      </c>
      <c r="G51" s="18" t="n">
        <f aca="false">IFERROR(D51/E51,0)</f>
        <v>0.016</v>
      </c>
      <c r="H51" s="2" t="n">
        <v>15</v>
      </c>
      <c r="I51" s="2"/>
    </row>
    <row r="52" customFormat="false" ht="15" hidden="false" customHeight="false" outlineLevel="0" collapsed="false">
      <c r="A52" s="2" t="n">
        <v>51</v>
      </c>
      <c r="B52" s="2" t="s">
        <v>107</v>
      </c>
      <c r="C52" s="2" t="s">
        <v>95</v>
      </c>
      <c r="D52" s="16" t="n">
        <v>15.4</v>
      </c>
      <c r="E52" s="17" t="n">
        <v>1000</v>
      </c>
      <c r="F52" s="2" t="s">
        <v>58</v>
      </c>
      <c r="G52" s="18" t="n">
        <f aca="false">IFERROR(D52/E52,0)</f>
        <v>0.0154</v>
      </c>
      <c r="H52" s="2" t="n">
        <v>15.5</v>
      </c>
      <c r="I52" s="2"/>
    </row>
    <row r="53" customFormat="false" ht="15" hidden="false" customHeight="false" outlineLevel="0" collapsed="false">
      <c r="A53" s="2" t="n">
        <v>52</v>
      </c>
      <c r="B53" s="2" t="s">
        <v>108</v>
      </c>
      <c r="C53" s="2" t="s">
        <v>95</v>
      </c>
      <c r="D53" s="16" t="n">
        <v>1.65</v>
      </c>
      <c r="E53" s="17" t="n">
        <v>1000</v>
      </c>
      <c r="F53" s="2" t="s">
        <v>58</v>
      </c>
      <c r="G53" s="18" t="n">
        <f aca="false">IFERROR(D53/E53,0)</f>
        <v>0.00165</v>
      </c>
      <c r="H53" s="2" t="n">
        <v>3</v>
      </c>
      <c r="I53" s="2"/>
    </row>
    <row r="54" customFormat="false" ht="15" hidden="false" customHeight="false" outlineLevel="0" collapsed="false">
      <c r="A54" s="2" t="n">
        <v>53</v>
      </c>
      <c r="B54" s="2" t="s">
        <v>109</v>
      </c>
      <c r="C54" s="2" t="s">
        <v>95</v>
      </c>
      <c r="D54" s="16" t="n">
        <v>2.636</v>
      </c>
      <c r="E54" s="17" t="n">
        <v>1000</v>
      </c>
      <c r="F54" s="2" t="s">
        <v>58</v>
      </c>
      <c r="G54" s="18" t="n">
        <f aca="false">IFERROR(D54/E54,0)</f>
        <v>0.002636</v>
      </c>
      <c r="H54" s="2" t="n">
        <v>2.9</v>
      </c>
      <c r="I54" s="2"/>
    </row>
    <row r="55" customFormat="false" ht="15" hidden="false" customHeight="false" outlineLevel="0" collapsed="false">
      <c r="A55" s="2" t="n">
        <v>54</v>
      </c>
      <c r="B55" s="2" t="s">
        <v>110</v>
      </c>
      <c r="C55" s="2" t="s">
        <v>95</v>
      </c>
      <c r="D55" s="16" t="n">
        <v>0.4</v>
      </c>
      <c r="E55" s="17" t="n">
        <v>100</v>
      </c>
      <c r="F55" s="2" t="s">
        <v>58</v>
      </c>
      <c r="G55" s="18" t="n">
        <f aca="false">IFERROR(D55/E55,0)</f>
        <v>0.004</v>
      </c>
      <c r="H55" s="2" t="n">
        <v>0.5</v>
      </c>
      <c r="I55" s="2"/>
    </row>
    <row r="56" customFormat="false" ht="15" hidden="false" customHeight="false" outlineLevel="0" collapsed="false">
      <c r="A56" s="2" t="n">
        <v>55</v>
      </c>
      <c r="B56" s="2" t="s">
        <v>111</v>
      </c>
      <c r="C56" s="2" t="s">
        <v>95</v>
      </c>
      <c r="D56" s="16" t="n">
        <v>0.4</v>
      </c>
      <c r="E56" s="17" t="n">
        <v>100</v>
      </c>
      <c r="F56" s="2" t="s">
        <v>58</v>
      </c>
      <c r="G56" s="18" t="n">
        <f aca="false">IFERROR(D56/E56,0)</f>
        <v>0.004</v>
      </c>
      <c r="H56" s="2" t="n">
        <v>0.5</v>
      </c>
      <c r="I56" s="2"/>
    </row>
    <row r="57" customFormat="false" ht="15" hidden="false" customHeight="false" outlineLevel="0" collapsed="false">
      <c r="A57" s="2" t="n">
        <v>56</v>
      </c>
      <c r="B57" s="2" t="s">
        <v>112</v>
      </c>
      <c r="C57" s="2" t="s">
        <v>95</v>
      </c>
      <c r="D57" s="16" t="n">
        <v>0.4</v>
      </c>
      <c r="E57" s="17" t="n">
        <v>1000</v>
      </c>
      <c r="F57" s="2" t="s">
        <v>58</v>
      </c>
      <c r="G57" s="18" t="n">
        <f aca="false">IFERROR(D57/E57,0)</f>
        <v>0.0004</v>
      </c>
      <c r="H57" s="2" t="n">
        <v>0.5</v>
      </c>
      <c r="I57" s="2"/>
    </row>
    <row r="58" customFormat="false" ht="15" hidden="false" customHeight="false" outlineLevel="0" collapsed="false">
      <c r="A58" s="2" t="n">
        <v>57</v>
      </c>
      <c r="B58" s="2" t="s">
        <v>113</v>
      </c>
      <c r="C58" s="2" t="s">
        <v>95</v>
      </c>
      <c r="D58" s="16" t="n">
        <v>1.772</v>
      </c>
      <c r="E58" s="17" t="n">
        <v>1000</v>
      </c>
      <c r="F58" s="2" t="s">
        <v>58</v>
      </c>
      <c r="G58" s="18" t="n">
        <f aca="false">IFERROR(D58/E58,0)</f>
        <v>0.001772</v>
      </c>
      <c r="H58" s="2" t="n">
        <v>2.15</v>
      </c>
      <c r="I58" s="2"/>
    </row>
    <row r="59" customFormat="false" ht="15" hidden="false" customHeight="false" outlineLevel="0" collapsed="false">
      <c r="A59" s="2" t="n">
        <v>58</v>
      </c>
      <c r="B59" s="2" t="s">
        <v>114</v>
      </c>
      <c r="C59" s="2" t="s">
        <v>95</v>
      </c>
      <c r="D59" s="16" t="n">
        <v>3.1</v>
      </c>
      <c r="E59" s="17" t="n">
        <v>1000</v>
      </c>
      <c r="F59" s="2" t="s">
        <v>58</v>
      </c>
      <c r="G59" s="18" t="n">
        <f aca="false">IFERROR(D59/E59,0)</f>
        <v>0.0031</v>
      </c>
      <c r="H59" s="2" t="n">
        <v>3.03</v>
      </c>
      <c r="I59" s="2"/>
    </row>
    <row r="60" customFormat="false" ht="15" hidden="false" customHeight="false" outlineLevel="0" collapsed="false">
      <c r="A60" s="2" t="n">
        <v>59</v>
      </c>
      <c r="B60" s="2" t="s">
        <v>115</v>
      </c>
      <c r="C60" s="2" t="s">
        <v>95</v>
      </c>
      <c r="D60" s="16" t="n">
        <v>0.165</v>
      </c>
      <c r="E60" s="17" t="n">
        <v>1000</v>
      </c>
      <c r="F60" s="2" t="s">
        <v>58</v>
      </c>
      <c r="G60" s="18" t="n">
        <f aca="false">IFERROR(D60/E60,0)</f>
        <v>0.000165</v>
      </c>
      <c r="H60" s="2" t="n">
        <v>0.07</v>
      </c>
      <c r="I60" s="2"/>
    </row>
    <row r="61" customFormat="false" ht="15" hidden="false" customHeight="false" outlineLevel="0" collapsed="false">
      <c r="A61" s="2" t="n">
        <v>60</v>
      </c>
      <c r="B61" s="2" t="s">
        <v>116</v>
      </c>
      <c r="C61" s="2" t="s">
        <v>95</v>
      </c>
      <c r="D61" s="16" t="n">
        <v>1.57</v>
      </c>
      <c r="E61" s="17" t="n">
        <v>1000</v>
      </c>
      <c r="F61" s="2" t="s">
        <v>58</v>
      </c>
      <c r="G61" s="18" t="n">
        <f aca="false">IFERROR(D61/E61,0)</f>
        <v>0.00157</v>
      </c>
      <c r="H61" s="2" t="n">
        <v>1.9</v>
      </c>
      <c r="I61" s="2"/>
    </row>
    <row r="62" customFormat="false" ht="15" hidden="false" customHeight="false" outlineLevel="0" collapsed="false">
      <c r="A62" s="2" t="n">
        <v>61</v>
      </c>
      <c r="B62" s="2" t="s">
        <v>117</v>
      </c>
      <c r="C62" s="2" t="s">
        <v>95</v>
      </c>
      <c r="D62" s="16" t="n">
        <v>1.8</v>
      </c>
      <c r="E62" s="17" t="n">
        <v>1000</v>
      </c>
      <c r="F62" s="2" t="s">
        <v>58</v>
      </c>
      <c r="G62" s="18" t="n">
        <f aca="false">IFERROR(D62/E62,0)</f>
        <v>0.0018</v>
      </c>
      <c r="H62" s="2" t="n">
        <v>1.57</v>
      </c>
      <c r="I62" s="2"/>
    </row>
    <row r="63" customFormat="false" ht="15" hidden="false" customHeight="false" outlineLevel="0" collapsed="false">
      <c r="A63" s="2" t="n">
        <v>62</v>
      </c>
      <c r="B63" s="2" t="s">
        <v>118</v>
      </c>
      <c r="C63" s="2" t="s">
        <v>95</v>
      </c>
      <c r="D63" s="16" t="n">
        <v>4</v>
      </c>
      <c r="E63" s="17" t="n">
        <v>1000</v>
      </c>
      <c r="F63" s="2" t="s">
        <v>58</v>
      </c>
      <c r="G63" s="18" t="n">
        <f aca="false">IFERROR(D63/E63,0)</f>
        <v>0.004</v>
      </c>
      <c r="H63" s="2" t="n">
        <v>4.8</v>
      </c>
      <c r="I63" s="2"/>
    </row>
    <row r="64" customFormat="false" ht="15" hidden="false" customHeight="false" outlineLevel="0" collapsed="false">
      <c r="A64" s="2" t="n">
        <v>63</v>
      </c>
      <c r="B64" s="2" t="s">
        <v>36</v>
      </c>
      <c r="C64" s="2" t="s">
        <v>119</v>
      </c>
      <c r="D64" s="16" t="n">
        <v>1.409</v>
      </c>
      <c r="E64" s="17" t="n">
        <v>1000</v>
      </c>
      <c r="F64" s="2" t="s">
        <v>58</v>
      </c>
      <c r="G64" s="18" t="n">
        <f aca="false">IFERROR(D64/E64,0)</f>
        <v>0.001409</v>
      </c>
      <c r="H64" s="2" t="n">
        <v>1.21</v>
      </c>
      <c r="I64" s="2" t="n">
        <v>0.95</v>
      </c>
    </row>
    <row r="65" customFormat="false" ht="15" hidden="false" customHeight="false" outlineLevel="0" collapsed="false">
      <c r="A65" s="2" t="n">
        <v>64</v>
      </c>
      <c r="B65" s="2" t="s">
        <v>120</v>
      </c>
      <c r="C65" s="2" t="s">
        <v>119</v>
      </c>
      <c r="D65" s="16" t="n">
        <v>2.636</v>
      </c>
      <c r="E65" s="17" t="n">
        <v>900</v>
      </c>
      <c r="F65" s="2" t="s">
        <v>58</v>
      </c>
      <c r="G65" s="18" t="n">
        <f aca="false">IFERROR(D65/E65,0)</f>
        <v>0.00292888888888889</v>
      </c>
      <c r="H65" s="2" t="n">
        <v>2.365</v>
      </c>
      <c r="I65" s="2" t="n">
        <v>1.833</v>
      </c>
    </row>
    <row r="66" customFormat="false" ht="15" hidden="false" customHeight="false" outlineLevel="0" collapsed="false">
      <c r="A66" s="2" t="n">
        <v>65</v>
      </c>
      <c r="B66" s="2" t="s">
        <v>121</v>
      </c>
      <c r="C66" s="2" t="s">
        <v>119</v>
      </c>
      <c r="D66" s="16" t="n">
        <v>2.2</v>
      </c>
      <c r="E66" s="17" t="n">
        <v>1000</v>
      </c>
      <c r="F66" s="2" t="s">
        <v>58</v>
      </c>
      <c r="G66" s="18" t="n">
        <f aca="false">IFERROR(D66/E66,0)</f>
        <v>0.0022</v>
      </c>
      <c r="H66" s="2" t="n">
        <v>2.2</v>
      </c>
      <c r="I66" s="2"/>
    </row>
    <row r="67" customFormat="false" ht="15" hidden="false" customHeight="false" outlineLevel="0" collapsed="false">
      <c r="A67" s="2" t="n">
        <v>66</v>
      </c>
      <c r="B67" s="2" t="s">
        <v>122</v>
      </c>
      <c r="C67" s="2" t="s">
        <v>119</v>
      </c>
      <c r="D67" s="16" t="n">
        <v>2.2</v>
      </c>
      <c r="E67" s="17" t="n">
        <v>1000</v>
      </c>
      <c r="F67" s="2" t="s">
        <v>58</v>
      </c>
      <c r="G67" s="18" t="n">
        <f aca="false">IFERROR(D67/E67,0)</f>
        <v>0.0022</v>
      </c>
      <c r="H67" s="2" t="n">
        <v>2</v>
      </c>
      <c r="I67" s="2" t="n">
        <v>1.8</v>
      </c>
    </row>
    <row r="68" customFormat="false" ht="15" hidden="false" customHeight="false" outlineLevel="0" collapsed="false">
      <c r="A68" s="2" t="n">
        <v>67</v>
      </c>
      <c r="B68" s="2" t="s">
        <v>123</v>
      </c>
      <c r="C68" s="2" t="s">
        <v>119</v>
      </c>
      <c r="D68" s="16" t="n">
        <v>1.5</v>
      </c>
      <c r="E68" s="17" t="n">
        <v>1000</v>
      </c>
      <c r="F68" s="2" t="s">
        <v>58</v>
      </c>
      <c r="G68" s="18" t="n">
        <f aca="false">IFERROR(D68/E68,0)</f>
        <v>0.0015</v>
      </c>
      <c r="H68" s="2" t="n">
        <v>1.32</v>
      </c>
      <c r="I68" s="2" t="n">
        <v>1.15</v>
      </c>
    </row>
    <row r="69" customFormat="false" ht="15" hidden="false" customHeight="false" outlineLevel="0" collapsed="false">
      <c r="A69" s="2" t="n">
        <v>68</v>
      </c>
      <c r="B69" s="2" t="s">
        <v>38</v>
      </c>
      <c r="C69" s="2" t="s">
        <v>119</v>
      </c>
      <c r="D69" s="16" t="n">
        <v>0.386</v>
      </c>
      <c r="E69" s="17" t="n">
        <v>450</v>
      </c>
      <c r="F69" s="2" t="s">
        <v>58</v>
      </c>
      <c r="G69" s="18" t="n">
        <f aca="false">IFERROR(D69/E69,0)</f>
        <v>0.000857777777777778</v>
      </c>
      <c r="H69" s="2" t="n">
        <v>0.385</v>
      </c>
      <c r="I69" s="2" t="n">
        <v>0.32</v>
      </c>
    </row>
    <row r="70" customFormat="false" ht="15" hidden="false" customHeight="false" outlineLevel="0" collapsed="false">
      <c r="A70" s="2" t="n">
        <v>69</v>
      </c>
      <c r="B70" s="2" t="s">
        <v>124</v>
      </c>
      <c r="C70" s="2" t="s">
        <v>119</v>
      </c>
      <c r="D70" s="16" t="n">
        <v>1.363</v>
      </c>
      <c r="E70" s="17" t="n">
        <v>1000</v>
      </c>
      <c r="F70" s="2" t="s">
        <v>58</v>
      </c>
      <c r="G70" s="18" t="n">
        <f aca="false">IFERROR(D70/E70,0)</f>
        <v>0.001363</v>
      </c>
      <c r="H70" s="2" t="n">
        <v>1.293</v>
      </c>
      <c r="I70" s="2" t="n">
        <v>1.15</v>
      </c>
    </row>
    <row r="71" customFormat="false" ht="15" hidden="false" customHeight="false" outlineLevel="0" collapsed="false">
      <c r="A71" s="2" t="n">
        <v>70</v>
      </c>
      <c r="B71" s="2" t="s">
        <v>125</v>
      </c>
      <c r="C71" s="2" t="s">
        <v>119</v>
      </c>
      <c r="D71" s="16" t="n">
        <v>0.239</v>
      </c>
      <c r="E71" s="17" t="n">
        <v>400</v>
      </c>
      <c r="F71" s="2" t="s">
        <v>58</v>
      </c>
      <c r="G71" s="18" t="n">
        <f aca="false">IFERROR(D71/E71,0)</f>
        <v>0.0005975</v>
      </c>
      <c r="H71" s="2" t="n">
        <v>0.29</v>
      </c>
      <c r="I71" s="2"/>
    </row>
    <row r="72" customFormat="false" ht="15" hidden="false" customHeight="false" outlineLevel="0" collapsed="false">
      <c r="A72" s="2" t="n">
        <v>71</v>
      </c>
      <c r="B72" s="2" t="s">
        <v>39</v>
      </c>
      <c r="C72" s="2" t="s">
        <v>119</v>
      </c>
      <c r="D72" s="16" t="n">
        <v>2.2</v>
      </c>
      <c r="E72" s="17" t="n">
        <v>1000</v>
      </c>
      <c r="F72" s="2" t="s">
        <v>58</v>
      </c>
      <c r="G72" s="18" t="n">
        <f aca="false">IFERROR(D72/E72,0)</f>
        <v>0.0022</v>
      </c>
      <c r="H72" s="2" t="n">
        <v>1.76</v>
      </c>
      <c r="I72" s="2" t="n">
        <v>1.5</v>
      </c>
    </row>
    <row r="73" customFormat="false" ht="15" hidden="false" customHeight="false" outlineLevel="0" collapsed="false">
      <c r="A73" s="2" t="n">
        <v>72</v>
      </c>
      <c r="B73" s="2" t="s">
        <v>126</v>
      </c>
      <c r="C73" s="2" t="s">
        <v>127</v>
      </c>
      <c r="D73" s="16" t="n">
        <v>0.75</v>
      </c>
      <c r="E73" s="17" t="n">
        <v>1000</v>
      </c>
      <c r="F73" s="2" t="s">
        <v>58</v>
      </c>
      <c r="G73" s="18" t="n">
        <f aca="false">IFERROR(D73/E73,0)</f>
        <v>0.00075</v>
      </c>
      <c r="H73" s="2" t="n">
        <v>0.73</v>
      </c>
      <c r="I73" s="2"/>
    </row>
    <row r="74" customFormat="false" ht="15" hidden="false" customHeight="false" outlineLevel="0" collapsed="false">
      <c r="A74" s="2" t="n">
        <v>73</v>
      </c>
      <c r="B74" s="2" t="s">
        <v>128</v>
      </c>
      <c r="C74" s="2" t="s">
        <v>127</v>
      </c>
      <c r="D74" s="16" t="n">
        <v>0.8</v>
      </c>
      <c r="E74" s="17" t="n">
        <v>1000</v>
      </c>
      <c r="F74" s="2" t="s">
        <v>58</v>
      </c>
      <c r="G74" s="18" t="n">
        <f aca="false">IFERROR(D74/E74,0)</f>
        <v>0.0008</v>
      </c>
      <c r="H74" s="2" t="n">
        <v>1.08</v>
      </c>
      <c r="I74" s="2"/>
    </row>
    <row r="75" customFormat="false" ht="15" hidden="false" customHeight="false" outlineLevel="0" collapsed="false">
      <c r="A75" s="2" t="n">
        <v>74</v>
      </c>
      <c r="B75" s="2" t="s">
        <v>45</v>
      </c>
      <c r="C75" s="2" t="s">
        <v>127</v>
      </c>
      <c r="D75" s="16" t="n">
        <v>0.54</v>
      </c>
      <c r="E75" s="17" t="n">
        <v>500</v>
      </c>
      <c r="F75" s="2" t="s">
        <v>58</v>
      </c>
      <c r="G75" s="18" t="n">
        <f aca="false">IFERROR(D75/E75,0)</f>
        <v>0.00108</v>
      </c>
      <c r="H75" s="2" t="n">
        <v>0.565</v>
      </c>
      <c r="I75" s="2"/>
    </row>
    <row r="76" customFormat="false" ht="15" hidden="false" customHeight="false" outlineLevel="0" collapsed="false">
      <c r="A76" s="2" t="n">
        <v>75</v>
      </c>
      <c r="B76" s="2" t="s">
        <v>129</v>
      </c>
      <c r="C76" s="2" t="s">
        <v>127</v>
      </c>
      <c r="D76" s="16" t="n">
        <v>1.545</v>
      </c>
      <c r="E76" s="17" t="n">
        <v>440</v>
      </c>
      <c r="F76" s="2" t="s">
        <v>58</v>
      </c>
      <c r="G76" s="18" t="n">
        <f aca="false">IFERROR(D76/E76,0)</f>
        <v>0.00351136363636364</v>
      </c>
      <c r="H76" s="2" t="n">
        <v>1.7</v>
      </c>
      <c r="I76" s="2"/>
    </row>
    <row r="77" customFormat="false" ht="15" hidden="false" customHeight="false" outlineLevel="0" collapsed="false">
      <c r="A77" s="2" t="n">
        <v>76</v>
      </c>
      <c r="B77" s="2" t="s">
        <v>130</v>
      </c>
      <c r="C77" s="2" t="s">
        <v>127</v>
      </c>
      <c r="D77" s="16" t="n">
        <v>1</v>
      </c>
      <c r="E77" s="17" t="n">
        <v>450</v>
      </c>
      <c r="F77" s="2" t="s">
        <v>58</v>
      </c>
      <c r="G77" s="18" t="n">
        <f aca="false">IFERROR(D77/E77,0)</f>
        <v>0.00222222222222222</v>
      </c>
      <c r="H77" s="2" t="n">
        <v>1.1</v>
      </c>
      <c r="I77" s="2"/>
    </row>
    <row r="78" customFormat="false" ht="15" hidden="false" customHeight="false" outlineLevel="0" collapsed="false">
      <c r="A78" s="2" t="n">
        <v>77</v>
      </c>
      <c r="B78" s="2" t="s">
        <v>131</v>
      </c>
      <c r="C78" s="2" t="s">
        <v>127</v>
      </c>
      <c r="D78" s="16" t="n">
        <v>0.513</v>
      </c>
      <c r="E78" s="17" t="n">
        <v>1000</v>
      </c>
      <c r="F78" s="2" t="s">
        <v>58</v>
      </c>
      <c r="G78" s="18" t="n">
        <f aca="false">IFERROR(D78/E78,0)</f>
        <v>0.000513</v>
      </c>
      <c r="H78" s="2" t="n">
        <v>0.446</v>
      </c>
      <c r="I78" s="2"/>
    </row>
    <row r="79" customFormat="false" ht="15" hidden="false" customHeight="false" outlineLevel="0" collapsed="false">
      <c r="A79" s="2" t="n">
        <v>78</v>
      </c>
      <c r="B79" s="2" t="s">
        <v>25</v>
      </c>
      <c r="C79" s="2" t="s">
        <v>127</v>
      </c>
      <c r="D79" s="16" t="n">
        <v>0.458</v>
      </c>
      <c r="E79" s="17" t="n">
        <v>450</v>
      </c>
      <c r="F79" s="2" t="s">
        <v>58</v>
      </c>
      <c r="G79" s="18" t="n">
        <f aca="false">IFERROR(D79/E79,0)</f>
        <v>0.00101777777777778</v>
      </c>
      <c r="H79" s="2" t="n">
        <v>0.504</v>
      </c>
      <c r="I79" s="2"/>
    </row>
    <row r="80" customFormat="false" ht="15" hidden="false" customHeight="false" outlineLevel="0" collapsed="false">
      <c r="A80" s="2" t="n">
        <v>79</v>
      </c>
      <c r="B80" s="2" t="s">
        <v>132</v>
      </c>
      <c r="C80" s="2" t="s">
        <v>127</v>
      </c>
      <c r="D80" s="16" t="n">
        <v>0.035</v>
      </c>
      <c r="E80" s="17" t="n">
        <v>1</v>
      </c>
      <c r="F80" s="2" t="s">
        <v>133</v>
      </c>
      <c r="G80" s="18" t="n">
        <f aca="false">IFERROR(D80/E80,0)</f>
        <v>0.035</v>
      </c>
      <c r="H80" s="2" t="n">
        <v>0.047</v>
      </c>
      <c r="I80" s="2"/>
    </row>
    <row r="81" customFormat="false" ht="15" hidden="false" customHeight="false" outlineLevel="0" collapsed="false">
      <c r="A81" s="2" t="n">
        <v>80</v>
      </c>
      <c r="B81" s="2" t="s">
        <v>134</v>
      </c>
      <c r="C81" s="2" t="s">
        <v>127</v>
      </c>
      <c r="D81" s="16" t="n">
        <v>0.1</v>
      </c>
      <c r="E81" s="17" t="n">
        <v>1000</v>
      </c>
      <c r="F81" s="2" t="s">
        <v>58</v>
      </c>
      <c r="G81" s="18" t="n">
        <f aca="false">IFERROR(D81/E81,0)</f>
        <v>0.0001</v>
      </c>
      <c r="H81" s="2" t="n">
        <v>0.1</v>
      </c>
      <c r="I81" s="2"/>
    </row>
    <row r="82" customFormat="false" ht="15" hidden="false" customHeight="false" outlineLevel="0" collapsed="false">
      <c r="A82" s="2" t="n">
        <v>81</v>
      </c>
      <c r="B82" s="2" t="s">
        <v>135</v>
      </c>
      <c r="C82" s="2" t="s">
        <v>127</v>
      </c>
      <c r="D82" s="16" t="n">
        <v>0.1</v>
      </c>
      <c r="E82" s="17" t="n">
        <v>1000</v>
      </c>
      <c r="F82" s="2" t="s">
        <v>58</v>
      </c>
      <c r="G82" s="18" t="n">
        <f aca="false">IFERROR(D82/E82,0)</f>
        <v>0.0001</v>
      </c>
      <c r="H82" s="2" t="n">
        <v>0.1</v>
      </c>
      <c r="I82" s="2"/>
    </row>
    <row r="83" customFormat="false" ht="15" hidden="false" customHeight="false" outlineLevel="0" collapsed="false">
      <c r="A83" s="2" t="n">
        <v>82</v>
      </c>
      <c r="B83" s="2" t="s">
        <v>136</v>
      </c>
      <c r="C83" s="2" t="s">
        <v>127</v>
      </c>
      <c r="D83" s="16" t="n">
        <v>0.3333</v>
      </c>
      <c r="E83" s="17" t="n">
        <v>1000</v>
      </c>
      <c r="F83" s="2" t="s">
        <v>58</v>
      </c>
      <c r="G83" s="18" t="n">
        <f aca="false">IFERROR(D83/E83,0)</f>
        <v>0.0003333</v>
      </c>
      <c r="H83" s="2" t="n">
        <v>0.403</v>
      </c>
      <c r="I83" s="2"/>
    </row>
    <row r="84" customFormat="false" ht="15" hidden="false" customHeight="false" outlineLevel="0" collapsed="false">
      <c r="A84" s="2" t="n">
        <v>83</v>
      </c>
      <c r="B84" s="2" t="s">
        <v>137</v>
      </c>
      <c r="C84" s="2" t="s">
        <v>127</v>
      </c>
      <c r="D84" s="16" t="n">
        <v>0.386</v>
      </c>
      <c r="E84" s="17" t="n">
        <v>1000</v>
      </c>
      <c r="F84" s="2" t="s">
        <v>58</v>
      </c>
      <c r="G84" s="18" t="n">
        <f aca="false">IFERROR(D84/E84,0)</f>
        <v>0.000386</v>
      </c>
      <c r="H84" s="2" t="n">
        <v>0.35</v>
      </c>
      <c r="I84" s="2"/>
    </row>
    <row r="85" customFormat="false" ht="15" hidden="false" customHeight="false" outlineLevel="0" collapsed="false">
      <c r="A85" s="2" t="n">
        <v>84</v>
      </c>
      <c r="B85" s="2" t="s">
        <v>138</v>
      </c>
      <c r="C85" s="2" t="s">
        <v>127</v>
      </c>
      <c r="D85" s="16" t="n">
        <v>0.36</v>
      </c>
      <c r="E85" s="17" t="n">
        <v>380</v>
      </c>
      <c r="F85" s="2" t="s">
        <v>58</v>
      </c>
      <c r="G85" s="18" t="n">
        <f aca="false">IFERROR(D85/E85,0)</f>
        <v>0.000947368421052632</v>
      </c>
      <c r="H85" s="2" t="n">
        <v>0.33</v>
      </c>
      <c r="I85" s="2"/>
    </row>
    <row r="86" customFormat="false" ht="15" hidden="false" customHeight="false" outlineLevel="0" collapsed="false">
      <c r="A86" s="2" t="n">
        <v>85</v>
      </c>
      <c r="B86" s="2" t="s">
        <v>139</v>
      </c>
      <c r="C86" s="2" t="s">
        <v>127</v>
      </c>
      <c r="D86" s="16" t="n">
        <v>0.318</v>
      </c>
      <c r="E86" s="17" t="n">
        <v>380</v>
      </c>
      <c r="F86" s="2" t="s">
        <v>58</v>
      </c>
      <c r="G86" s="18" t="n">
        <f aca="false">IFERROR(D86/E86,0)</f>
        <v>0.000836842105263158</v>
      </c>
      <c r="H86" s="2" t="n">
        <v>1</v>
      </c>
      <c r="I86" s="2"/>
    </row>
    <row r="87" customFormat="false" ht="15" hidden="false" customHeight="false" outlineLevel="0" collapsed="false">
      <c r="A87" s="2" t="n">
        <v>86</v>
      </c>
      <c r="B87" s="2" t="s">
        <v>140</v>
      </c>
      <c r="C87" s="2" t="s">
        <v>127</v>
      </c>
      <c r="D87" s="16" t="n">
        <v>0.293</v>
      </c>
      <c r="E87" s="17" t="n">
        <v>380</v>
      </c>
      <c r="F87" s="2" t="s">
        <v>58</v>
      </c>
      <c r="G87" s="18" t="n">
        <f aca="false">IFERROR(D87/E87,0)</f>
        <v>0.000771052631578947</v>
      </c>
      <c r="H87" s="2" t="n">
        <v>0.35</v>
      </c>
      <c r="I87" s="2"/>
    </row>
    <row r="88" customFormat="false" ht="15" hidden="false" customHeight="false" outlineLevel="0" collapsed="false">
      <c r="A88" s="2" t="n">
        <v>87</v>
      </c>
      <c r="B88" s="2" t="s">
        <v>141</v>
      </c>
      <c r="C88" s="2" t="s">
        <v>127</v>
      </c>
      <c r="D88" s="16" t="n">
        <v>0.265</v>
      </c>
      <c r="E88" s="17" t="n">
        <v>410</v>
      </c>
      <c r="F88" s="2" t="s">
        <v>58</v>
      </c>
      <c r="G88" s="18" t="n">
        <f aca="false">IFERROR(D88/E88,0)</f>
        <v>0.000646341463414634</v>
      </c>
      <c r="H88" s="2" t="n">
        <v>0.3</v>
      </c>
      <c r="I88" s="2"/>
    </row>
    <row r="89" customFormat="false" ht="15" hidden="false" customHeight="false" outlineLevel="0" collapsed="false">
      <c r="A89" s="2" t="n">
        <v>88</v>
      </c>
      <c r="B89" s="2" t="s">
        <v>142</v>
      </c>
      <c r="C89" s="2" t="s">
        <v>127</v>
      </c>
      <c r="D89" s="16" t="n">
        <v>3.75</v>
      </c>
      <c r="E89" s="17" t="n">
        <v>1000</v>
      </c>
      <c r="F89" s="2" t="s">
        <v>58</v>
      </c>
      <c r="G89" s="18" t="n">
        <f aca="false">IFERROR(D89/E89,0)</f>
        <v>0.00375</v>
      </c>
      <c r="H89" s="2" t="n">
        <v>3.75</v>
      </c>
      <c r="I89" s="2"/>
    </row>
    <row r="90" customFormat="false" ht="15" hidden="false" customHeight="false" outlineLevel="0" collapsed="false">
      <c r="A90" s="2" t="n">
        <v>89</v>
      </c>
      <c r="B90" s="2" t="s">
        <v>143</v>
      </c>
      <c r="C90" s="2" t="s">
        <v>127</v>
      </c>
      <c r="D90" s="16" t="n">
        <v>0.5</v>
      </c>
      <c r="E90" s="17" t="n">
        <v>946</v>
      </c>
      <c r="F90" s="2" t="s">
        <v>58</v>
      </c>
      <c r="G90" s="18" t="n">
        <f aca="false">IFERROR(D90/E90,0)</f>
        <v>0.000528541226215645</v>
      </c>
      <c r="H90" s="2" t="n">
        <v>0.55</v>
      </c>
      <c r="I90" s="2"/>
    </row>
    <row r="91" customFormat="false" ht="15" hidden="false" customHeight="false" outlineLevel="0" collapsed="false">
      <c r="A91" s="2" t="n">
        <v>90</v>
      </c>
      <c r="B91" s="2" t="s">
        <v>144</v>
      </c>
      <c r="C91" s="2" t="s">
        <v>127</v>
      </c>
      <c r="D91" s="16" t="n">
        <v>0.5</v>
      </c>
      <c r="E91" s="17" t="n">
        <v>1000</v>
      </c>
      <c r="F91" s="2" t="s">
        <v>58</v>
      </c>
      <c r="G91" s="18" t="n">
        <f aca="false">IFERROR(D91/E91,0)</f>
        <v>0.0005</v>
      </c>
      <c r="H91" s="2" t="n">
        <v>0.5</v>
      </c>
      <c r="I91" s="2"/>
    </row>
    <row r="92" customFormat="false" ht="15" hidden="false" customHeight="false" outlineLevel="0" collapsed="false">
      <c r="A92" s="2" t="n">
        <v>91</v>
      </c>
      <c r="B92" s="2" t="s">
        <v>145</v>
      </c>
      <c r="C92" s="2" t="s">
        <v>127</v>
      </c>
      <c r="D92" s="16" t="n">
        <v>0.083</v>
      </c>
      <c r="E92" s="17" t="n">
        <v>1</v>
      </c>
      <c r="F92" s="2" t="s">
        <v>133</v>
      </c>
      <c r="G92" s="18" t="n">
        <f aca="false">IFERROR(D92/E92,0)</f>
        <v>0.083</v>
      </c>
      <c r="H92" s="2" t="n">
        <v>0.041</v>
      </c>
      <c r="I92" s="2"/>
    </row>
    <row r="93" customFormat="false" ht="15" hidden="false" customHeight="false" outlineLevel="0" collapsed="false">
      <c r="A93" s="2" t="n">
        <v>92</v>
      </c>
      <c r="B93" s="2" t="s">
        <v>146</v>
      </c>
      <c r="C93" s="2" t="s">
        <v>127</v>
      </c>
      <c r="D93" s="16" t="n">
        <v>1</v>
      </c>
      <c r="E93" s="17" t="n">
        <v>1000</v>
      </c>
      <c r="F93" s="2" t="s">
        <v>58</v>
      </c>
      <c r="G93" s="18" t="n">
        <f aca="false">IFERROR(D93/E93,0)</f>
        <v>0.001</v>
      </c>
      <c r="H93" s="2" t="n">
        <v>0.964</v>
      </c>
      <c r="I93" s="2"/>
    </row>
    <row r="94" customFormat="false" ht="15" hidden="false" customHeight="false" outlineLevel="0" collapsed="false">
      <c r="A94" s="2" t="n">
        <v>93</v>
      </c>
      <c r="B94" s="2" t="s">
        <v>147</v>
      </c>
      <c r="C94" s="2" t="s">
        <v>127</v>
      </c>
      <c r="D94" s="16" t="n">
        <v>1.232</v>
      </c>
      <c r="E94" s="17" t="n">
        <v>1000</v>
      </c>
      <c r="F94" s="2" t="s">
        <v>148</v>
      </c>
      <c r="G94" s="18" t="n">
        <f aca="false">IFERROR(D94/E94,0)</f>
        <v>0.001232</v>
      </c>
      <c r="H94" s="2" t="n">
        <v>1.533</v>
      </c>
      <c r="I94" s="2"/>
    </row>
    <row r="95" customFormat="false" ht="15" hidden="false" customHeight="false" outlineLevel="0" collapsed="false">
      <c r="A95" s="2" t="n">
        <v>94</v>
      </c>
      <c r="B95" s="2" t="s">
        <v>149</v>
      </c>
      <c r="C95" s="2" t="s">
        <v>127</v>
      </c>
      <c r="D95" s="16" t="n">
        <v>0.9</v>
      </c>
      <c r="E95" s="17" t="n">
        <v>1000</v>
      </c>
      <c r="F95" s="2" t="s">
        <v>148</v>
      </c>
      <c r="G95" s="18" t="n">
        <f aca="false">IFERROR(D95/E95,0)</f>
        <v>0.0009</v>
      </c>
      <c r="H95" s="2" t="n">
        <v>1</v>
      </c>
      <c r="I95" s="2"/>
    </row>
    <row r="96" customFormat="false" ht="15" hidden="false" customHeight="false" outlineLevel="0" collapsed="false">
      <c r="A96" s="2" t="n">
        <v>95</v>
      </c>
      <c r="B96" s="2" t="s">
        <v>150</v>
      </c>
      <c r="C96" s="2" t="s">
        <v>127</v>
      </c>
      <c r="D96" s="16" t="n">
        <v>0.594</v>
      </c>
      <c r="E96" s="17" t="n">
        <v>1000</v>
      </c>
      <c r="F96" s="2" t="s">
        <v>148</v>
      </c>
      <c r="G96" s="18" t="n">
        <f aca="false">IFERROR(D96/E96,0)</f>
        <v>0.000594</v>
      </c>
      <c r="H96" s="2" t="n">
        <v>0.666</v>
      </c>
      <c r="I96" s="2" t="n">
        <v>0.558</v>
      </c>
    </row>
    <row r="97" customFormat="false" ht="15" hidden="false" customHeight="false" outlineLevel="0" collapsed="false">
      <c r="A97" s="2" t="n">
        <v>96</v>
      </c>
      <c r="B97" s="2" t="s">
        <v>151</v>
      </c>
      <c r="C97" s="2" t="s">
        <v>127</v>
      </c>
      <c r="D97" s="16" t="n">
        <v>1.54</v>
      </c>
      <c r="E97" s="17" t="n">
        <v>5000</v>
      </c>
      <c r="F97" s="2" t="s">
        <v>148</v>
      </c>
      <c r="G97" s="18" t="n">
        <f aca="false">IFERROR(D97/E97,0)</f>
        <v>0.000308</v>
      </c>
      <c r="H97" s="2" t="n">
        <v>1.85</v>
      </c>
      <c r="I97" s="2"/>
    </row>
    <row r="98" customFormat="false" ht="15" hidden="false" customHeight="false" outlineLevel="0" collapsed="false">
      <c r="A98" s="2" t="n">
        <v>97</v>
      </c>
      <c r="B98" s="2" t="s">
        <v>152</v>
      </c>
      <c r="C98" s="2" t="s">
        <v>127</v>
      </c>
      <c r="D98" s="16" t="n">
        <v>1.45</v>
      </c>
      <c r="E98" s="17" t="n">
        <v>1000</v>
      </c>
      <c r="F98" s="2" t="s">
        <v>58</v>
      </c>
      <c r="G98" s="18" t="n">
        <f aca="false">IFERROR(D98/E98,0)</f>
        <v>0.00145</v>
      </c>
      <c r="H98" s="2" t="n">
        <v>1.45</v>
      </c>
      <c r="I98" s="2"/>
    </row>
    <row r="99" customFormat="false" ht="15" hidden="false" customHeight="false" outlineLevel="0" collapsed="false">
      <c r="A99" s="2" t="n">
        <v>98</v>
      </c>
      <c r="B99" s="2" t="s">
        <v>153</v>
      </c>
      <c r="C99" s="2" t="s">
        <v>127</v>
      </c>
      <c r="D99" s="16" t="n">
        <v>1.25</v>
      </c>
      <c r="E99" s="17" t="n">
        <v>300</v>
      </c>
      <c r="F99" s="2" t="s">
        <v>58</v>
      </c>
      <c r="G99" s="18" t="n">
        <f aca="false">IFERROR(D99/E99,0)</f>
        <v>0.00416666666666667</v>
      </c>
      <c r="H99" s="2" t="n">
        <v>1.21</v>
      </c>
      <c r="I99" s="2"/>
    </row>
    <row r="100" customFormat="false" ht="15" hidden="false" customHeight="false" outlineLevel="0" collapsed="false">
      <c r="A100" s="2" t="n">
        <v>99</v>
      </c>
      <c r="B100" s="2" t="s">
        <v>154</v>
      </c>
      <c r="C100" s="2" t="s">
        <v>127</v>
      </c>
      <c r="D100" s="16" t="n">
        <v>0.3</v>
      </c>
      <c r="E100" s="17" t="n">
        <v>450</v>
      </c>
      <c r="F100" s="2" t="s">
        <v>148</v>
      </c>
      <c r="G100" s="18" t="n">
        <f aca="false">IFERROR(D100/E100,0)</f>
        <v>0.000666666666666667</v>
      </c>
      <c r="H100" s="2" t="n">
        <v>0</v>
      </c>
      <c r="I100" s="2"/>
    </row>
    <row r="101" customFormat="false" ht="15" hidden="false" customHeight="false" outlineLevel="0" collapsed="false">
      <c r="A101" s="2" t="n">
        <v>100</v>
      </c>
      <c r="B101" s="2" t="s">
        <v>155</v>
      </c>
      <c r="C101" s="2" t="s">
        <v>127</v>
      </c>
      <c r="D101" s="16" t="n">
        <v>0.2</v>
      </c>
      <c r="E101" s="17" t="n">
        <v>450</v>
      </c>
      <c r="F101" s="2" t="s">
        <v>148</v>
      </c>
      <c r="G101" s="18" t="n">
        <f aca="false">IFERROR(D101/E101,0)</f>
        <v>0.000444444444444444</v>
      </c>
      <c r="H101" s="2" t="n">
        <v>0.15</v>
      </c>
      <c r="I101" s="2"/>
    </row>
    <row r="102" customFormat="false" ht="15" hidden="false" customHeight="false" outlineLevel="0" collapsed="false">
      <c r="A102" s="2" t="n">
        <v>101</v>
      </c>
      <c r="B102" s="2" t="s">
        <v>156</v>
      </c>
      <c r="C102" s="2" t="s">
        <v>127</v>
      </c>
      <c r="D102" s="16" t="n">
        <v>0.6</v>
      </c>
      <c r="E102" s="17" t="n">
        <v>1000</v>
      </c>
      <c r="F102" s="2" t="s">
        <v>58</v>
      </c>
      <c r="G102" s="18" t="n">
        <f aca="false">IFERROR(D102/E102,0)</f>
        <v>0.0006</v>
      </c>
      <c r="H102" s="2" t="n">
        <v>0.6</v>
      </c>
      <c r="I102" s="2"/>
    </row>
    <row r="103" customFormat="false" ht="15" hidden="false" customHeight="false" outlineLevel="0" collapsed="false">
      <c r="A103" s="2" t="n">
        <v>102</v>
      </c>
      <c r="B103" s="2" t="s">
        <v>157</v>
      </c>
      <c r="C103" s="2" t="s">
        <v>127</v>
      </c>
      <c r="D103" s="16" t="n">
        <v>1.166</v>
      </c>
      <c r="E103" s="17" t="n">
        <v>1</v>
      </c>
      <c r="F103" s="2" t="s">
        <v>58</v>
      </c>
      <c r="G103" s="18" t="n">
        <f aca="false">IFERROR(D103/E103,0)</f>
        <v>1.166</v>
      </c>
      <c r="H103" s="2" t="n">
        <v>1.09</v>
      </c>
      <c r="I103" s="2"/>
    </row>
    <row r="104" customFormat="false" ht="15" hidden="false" customHeight="false" outlineLevel="0" collapsed="false">
      <c r="A104" s="2" t="n">
        <v>103</v>
      </c>
      <c r="B104" s="2" t="s">
        <v>158</v>
      </c>
      <c r="C104" s="2" t="s">
        <v>127</v>
      </c>
      <c r="D104" s="16" t="n">
        <v>0.012</v>
      </c>
      <c r="E104" s="17" t="n">
        <v>1</v>
      </c>
      <c r="F104" s="2" t="s">
        <v>133</v>
      </c>
      <c r="G104" s="18" t="n">
        <f aca="false">IFERROR(D104/E104,0)</f>
        <v>0.012</v>
      </c>
      <c r="H104" s="2" t="n">
        <v>0.03</v>
      </c>
      <c r="I104" s="2"/>
    </row>
    <row r="105" customFormat="false" ht="15" hidden="false" customHeight="false" outlineLevel="0" collapsed="false">
      <c r="A105" s="2" t="n">
        <v>104</v>
      </c>
      <c r="B105" s="2" t="s">
        <v>159</v>
      </c>
      <c r="C105" s="2" t="s">
        <v>127</v>
      </c>
      <c r="D105" s="16" t="n">
        <v>0.025</v>
      </c>
      <c r="E105" s="17" t="n">
        <v>1</v>
      </c>
      <c r="F105" s="2" t="s">
        <v>133</v>
      </c>
      <c r="G105" s="18" t="n">
        <f aca="false">IFERROR(D105/E105,0)</f>
        <v>0.025</v>
      </c>
      <c r="H105" s="2" t="n">
        <v>0.029</v>
      </c>
      <c r="I105" s="2"/>
    </row>
    <row r="106" customFormat="false" ht="15" hidden="false" customHeight="false" outlineLevel="0" collapsed="false">
      <c r="A106" s="2" t="n">
        <v>105</v>
      </c>
      <c r="B106" s="2" t="s">
        <v>160</v>
      </c>
      <c r="C106" s="2" t="s">
        <v>127</v>
      </c>
      <c r="D106" s="16" t="n">
        <v>0.3</v>
      </c>
      <c r="E106" s="17" t="n">
        <v>1000</v>
      </c>
      <c r="F106" s="2" t="s">
        <v>58</v>
      </c>
      <c r="G106" s="18" t="n">
        <f aca="false">IFERROR(D106/E106,0)</f>
        <v>0.0003</v>
      </c>
      <c r="H106" s="2" t="n">
        <v>0.3</v>
      </c>
      <c r="I106" s="2"/>
    </row>
    <row r="107" customFormat="false" ht="15" hidden="false" customHeight="false" outlineLevel="0" collapsed="false">
      <c r="A107" s="2" t="n">
        <v>106</v>
      </c>
      <c r="B107" s="2" t="s">
        <v>161</v>
      </c>
      <c r="C107" s="2" t="s">
        <v>127</v>
      </c>
      <c r="D107" s="16" t="n">
        <v>0.9696</v>
      </c>
      <c r="E107" s="17" t="n">
        <v>1000</v>
      </c>
      <c r="F107" s="2" t="s">
        <v>58</v>
      </c>
      <c r="G107" s="18" t="n">
        <f aca="false">IFERROR(D107/E107,0)</f>
        <v>0.0009696</v>
      </c>
      <c r="H107" s="2" t="n">
        <v>1.466</v>
      </c>
      <c r="I107" s="2" t="n">
        <v>1.1</v>
      </c>
    </row>
    <row r="108" customFormat="false" ht="15" hidden="false" customHeight="false" outlineLevel="0" collapsed="false">
      <c r="A108" s="2" t="n">
        <v>107</v>
      </c>
      <c r="B108" s="2" t="s">
        <v>162</v>
      </c>
      <c r="C108" s="2" t="s">
        <v>127</v>
      </c>
      <c r="D108" s="16" t="n">
        <v>2</v>
      </c>
      <c r="E108" s="17" t="n">
        <v>1000</v>
      </c>
      <c r="F108" s="2" t="s">
        <v>58</v>
      </c>
      <c r="G108" s="18" t="n">
        <f aca="false">IFERROR(D108/E108,0)</f>
        <v>0.002</v>
      </c>
      <c r="H108" s="2" t="n">
        <v>1.7</v>
      </c>
      <c r="I108" s="2"/>
    </row>
    <row r="109" customFormat="false" ht="15" hidden="false" customHeight="false" outlineLevel="0" collapsed="false">
      <c r="A109" s="2" t="n">
        <v>108</v>
      </c>
      <c r="B109" s="2" t="s">
        <v>163</v>
      </c>
      <c r="C109" s="2" t="s">
        <v>127</v>
      </c>
      <c r="D109" s="16" t="n">
        <v>0.011</v>
      </c>
      <c r="E109" s="17" t="n">
        <v>1</v>
      </c>
      <c r="F109" s="2" t="s">
        <v>133</v>
      </c>
      <c r="G109" s="18" t="n">
        <f aca="false">IFERROR(D109/E109,0)</f>
        <v>0.011</v>
      </c>
      <c r="H109" s="2" t="n">
        <v>1.1</v>
      </c>
      <c r="I109" s="2"/>
    </row>
    <row r="110" customFormat="false" ht="15" hidden="false" customHeight="false" outlineLevel="0" collapsed="false">
      <c r="A110" s="2" t="n">
        <v>109</v>
      </c>
      <c r="B110" s="2" t="s">
        <v>164</v>
      </c>
      <c r="C110" s="2" t="s">
        <v>127</v>
      </c>
      <c r="D110" s="16" t="n">
        <v>0.6</v>
      </c>
      <c r="E110" s="17" t="n">
        <v>1000</v>
      </c>
      <c r="F110" s="2" t="s">
        <v>58</v>
      </c>
      <c r="G110" s="18" t="n">
        <f aca="false">IFERROR(D110/E110,0)</f>
        <v>0.0006</v>
      </c>
      <c r="H110" s="2" t="n">
        <v>0.84</v>
      </c>
      <c r="I110" s="2"/>
    </row>
    <row r="111" customFormat="false" ht="15" hidden="false" customHeight="false" outlineLevel="0" collapsed="false">
      <c r="A111" s="2" t="n">
        <v>110</v>
      </c>
      <c r="B111" s="2" t="s">
        <v>165</v>
      </c>
      <c r="C111" s="2" t="s">
        <v>127</v>
      </c>
      <c r="D111" s="16" t="n">
        <v>1.572</v>
      </c>
      <c r="E111" s="17" t="n">
        <v>500</v>
      </c>
      <c r="F111" s="2" t="s">
        <v>58</v>
      </c>
      <c r="G111" s="18" t="n">
        <f aca="false">IFERROR(D111/E111,0)</f>
        <v>0.003144</v>
      </c>
      <c r="H111" s="2" t="n">
        <v>1.73</v>
      </c>
      <c r="I111" s="2"/>
    </row>
    <row r="112" customFormat="false" ht="15" hidden="false" customHeight="false" outlineLevel="0" collapsed="false">
      <c r="A112" s="2" t="n">
        <v>111</v>
      </c>
      <c r="B112" s="2" t="s">
        <v>166</v>
      </c>
      <c r="C112" s="2" t="s">
        <v>127</v>
      </c>
      <c r="D112" s="16" t="n">
        <v>0.5</v>
      </c>
      <c r="E112" s="17" t="n">
        <v>3000</v>
      </c>
      <c r="F112" s="2" t="s">
        <v>58</v>
      </c>
      <c r="G112" s="18" t="n">
        <f aca="false">IFERROR(D112/E112,0)</f>
        <v>0.000166666666666667</v>
      </c>
      <c r="H112" s="2" t="n">
        <v>0.5</v>
      </c>
      <c r="I112" s="2"/>
    </row>
    <row r="113" customFormat="false" ht="15" hidden="false" customHeight="false" outlineLevel="0" collapsed="false">
      <c r="A113" s="2" t="n">
        <v>112</v>
      </c>
      <c r="B113" s="2" t="s">
        <v>167</v>
      </c>
      <c r="C113" s="2" t="s">
        <v>127</v>
      </c>
      <c r="D113" s="16" t="n">
        <v>3.7</v>
      </c>
      <c r="E113" s="17" t="n">
        <v>1700</v>
      </c>
      <c r="F113" s="2" t="s">
        <v>58</v>
      </c>
      <c r="G113" s="18" t="n">
        <f aca="false">IFERROR(D113/E113,0)</f>
        <v>0.00217647058823529</v>
      </c>
      <c r="H113" s="2" t="n">
        <v>3.2</v>
      </c>
      <c r="I113" s="2"/>
    </row>
    <row r="114" customFormat="false" ht="15" hidden="false" customHeight="false" outlineLevel="0" collapsed="false">
      <c r="A114" s="2" t="n">
        <v>113</v>
      </c>
      <c r="B114" s="2" t="s">
        <v>168</v>
      </c>
      <c r="C114" s="2" t="s">
        <v>127</v>
      </c>
      <c r="D114" s="16" t="n">
        <v>0.73</v>
      </c>
      <c r="E114" s="17" t="n">
        <v>1000</v>
      </c>
      <c r="F114" s="2" t="s">
        <v>58</v>
      </c>
      <c r="G114" s="18" t="n">
        <f aca="false">IFERROR(D114/E114,0)</f>
        <v>0.00073</v>
      </c>
      <c r="H114" s="2"/>
      <c r="I114" s="2"/>
    </row>
    <row r="115" customFormat="false" ht="15" hidden="false" customHeight="false" outlineLevel="0" collapsed="false">
      <c r="A115" s="2" t="n">
        <v>114</v>
      </c>
      <c r="B115" s="2" t="s">
        <v>169</v>
      </c>
      <c r="C115" s="2" t="s">
        <v>127</v>
      </c>
      <c r="D115" s="16" t="n">
        <v>0.6</v>
      </c>
      <c r="E115" s="17" t="n">
        <v>500</v>
      </c>
      <c r="F115" s="2" t="s">
        <v>58</v>
      </c>
      <c r="G115" s="18" t="n">
        <f aca="false">IFERROR(D115/E115,0)</f>
        <v>0.0012</v>
      </c>
      <c r="H115" s="2" t="n">
        <v>0.605</v>
      </c>
      <c r="I115" s="2"/>
    </row>
    <row r="116" customFormat="false" ht="15" hidden="false" customHeight="false" outlineLevel="0" collapsed="false">
      <c r="A116" s="2" t="n">
        <v>115</v>
      </c>
      <c r="B116" s="2" t="s">
        <v>170</v>
      </c>
      <c r="C116" s="2" t="s">
        <v>127</v>
      </c>
      <c r="D116" s="16" t="n">
        <v>1.08</v>
      </c>
      <c r="E116" s="17" t="n">
        <v>1000</v>
      </c>
      <c r="F116" s="2" t="s">
        <v>58</v>
      </c>
      <c r="G116" s="18" t="n">
        <f aca="false">IFERROR(D116/E116,0)</f>
        <v>0.00108</v>
      </c>
      <c r="H116" s="2"/>
      <c r="I116" s="2"/>
    </row>
    <row r="117" customFormat="false" ht="15" hidden="false" customHeight="false" outlineLevel="0" collapsed="false">
      <c r="A117" s="2" t="n">
        <v>116</v>
      </c>
      <c r="B117" s="2" t="s">
        <v>171</v>
      </c>
      <c r="C117" s="2" t="s">
        <v>127</v>
      </c>
      <c r="D117" s="16" t="n">
        <v>0</v>
      </c>
      <c r="E117" s="17" t="n">
        <v>1000</v>
      </c>
      <c r="F117" s="2" t="s">
        <v>58</v>
      </c>
      <c r="G117" s="18" t="n">
        <f aca="false">IFERROR(D117/E117,0)</f>
        <v>0</v>
      </c>
      <c r="H117" s="2"/>
      <c r="I117" s="2"/>
    </row>
    <row r="118" customFormat="false" ht="15" hidden="false" customHeight="false" outlineLevel="0" collapsed="false">
      <c r="A118" s="2" t="n">
        <v>117</v>
      </c>
      <c r="B118" s="2" t="s">
        <v>172</v>
      </c>
      <c r="C118" s="2" t="s">
        <v>127</v>
      </c>
      <c r="D118" s="16" t="n">
        <v>0</v>
      </c>
      <c r="E118" s="17" t="n">
        <v>1000</v>
      </c>
      <c r="F118" s="2" t="s">
        <v>58</v>
      </c>
      <c r="G118" s="18" t="n">
        <f aca="false">IFERROR(D118/E118,0)</f>
        <v>0</v>
      </c>
      <c r="H118" s="2"/>
      <c r="I118" s="2"/>
    </row>
    <row r="119" customFormat="false" ht="15" hidden="false" customHeight="false" outlineLevel="0" collapsed="false">
      <c r="A119" s="2" t="n">
        <v>118</v>
      </c>
      <c r="B119" s="2" t="s">
        <v>173</v>
      </c>
      <c r="C119" s="2" t="s">
        <v>174</v>
      </c>
      <c r="D119" s="16" t="n">
        <v>0.32</v>
      </c>
      <c r="E119" s="17" t="n">
        <v>50</v>
      </c>
      <c r="F119" s="2" t="s">
        <v>133</v>
      </c>
      <c r="G119" s="18" t="n">
        <f aca="false">IFERROR(D119/E119,0)</f>
        <v>0.0064</v>
      </c>
      <c r="H119" s="2" t="n">
        <v>0.29</v>
      </c>
      <c r="I119" s="2"/>
    </row>
    <row r="120" customFormat="false" ht="15" hidden="false" customHeight="false" outlineLevel="0" collapsed="false">
      <c r="A120" s="2" t="n">
        <v>119</v>
      </c>
      <c r="B120" s="2" t="s">
        <v>175</v>
      </c>
      <c r="C120" s="2" t="s">
        <v>174</v>
      </c>
      <c r="D120" s="16" t="n">
        <v>12.5</v>
      </c>
      <c r="E120" s="17" t="n">
        <v>500</v>
      </c>
      <c r="F120" s="2" t="s">
        <v>133</v>
      </c>
      <c r="G120" s="18" t="n">
        <f aca="false">IFERROR(D120/E120,0)</f>
        <v>0.025</v>
      </c>
      <c r="H120" s="2" t="n">
        <v>15</v>
      </c>
      <c r="I120" s="2"/>
    </row>
    <row r="121" customFormat="false" ht="15" hidden="false" customHeight="false" outlineLevel="0" collapsed="false">
      <c r="A121" s="2" t="n">
        <v>120</v>
      </c>
      <c r="B121" s="2" t="s">
        <v>176</v>
      </c>
      <c r="C121" s="2" t="s">
        <v>174</v>
      </c>
      <c r="D121" s="16" t="n">
        <v>6.3</v>
      </c>
      <c r="E121" s="17" t="n">
        <v>300</v>
      </c>
      <c r="F121" s="2" t="s">
        <v>133</v>
      </c>
      <c r="G121" s="18" t="n">
        <f aca="false">IFERROR(D121/E121,0)</f>
        <v>0.021</v>
      </c>
      <c r="H121" s="2" t="n">
        <v>13</v>
      </c>
      <c r="I121" s="2"/>
    </row>
    <row r="122" customFormat="false" ht="15" hidden="false" customHeight="false" outlineLevel="0" collapsed="false">
      <c r="A122" s="2" t="n">
        <v>121</v>
      </c>
      <c r="B122" s="2" t="s">
        <v>177</v>
      </c>
      <c r="C122" s="2" t="s">
        <v>174</v>
      </c>
      <c r="D122" s="16" t="n">
        <v>9.45</v>
      </c>
      <c r="E122" s="17" t="n">
        <v>300</v>
      </c>
      <c r="F122" s="2" t="s">
        <v>133</v>
      </c>
      <c r="G122" s="18" t="n">
        <f aca="false">IFERROR(D122/E122,0)</f>
        <v>0.0315</v>
      </c>
      <c r="H122" s="2" t="n">
        <v>17</v>
      </c>
      <c r="I122" s="2"/>
    </row>
    <row r="123" customFormat="false" ht="15" hidden="false" customHeight="false" outlineLevel="0" collapsed="false">
      <c r="A123" s="2" t="n">
        <v>122</v>
      </c>
      <c r="B123" s="2" t="s">
        <v>178</v>
      </c>
      <c r="C123" s="2" t="s">
        <v>174</v>
      </c>
      <c r="D123" s="16" t="n">
        <v>17.5</v>
      </c>
      <c r="E123" s="17" t="n">
        <v>150</v>
      </c>
      <c r="F123" s="2" t="s">
        <v>133</v>
      </c>
      <c r="G123" s="18" t="n">
        <f aca="false">IFERROR(D123/E123,0)</f>
        <v>0.116666666666667</v>
      </c>
      <c r="H123" s="2" t="n">
        <v>17</v>
      </c>
      <c r="I123" s="2"/>
    </row>
    <row r="124" customFormat="false" ht="15" hidden="false" customHeight="false" outlineLevel="0" collapsed="false">
      <c r="A124" s="2" t="n">
        <v>123</v>
      </c>
      <c r="B124" s="2" t="s">
        <v>179</v>
      </c>
      <c r="C124" s="2" t="s">
        <v>174</v>
      </c>
      <c r="D124" s="16" t="n">
        <v>0.6</v>
      </c>
      <c r="E124" s="17" t="n">
        <v>250</v>
      </c>
      <c r="F124" s="2" t="s">
        <v>58</v>
      </c>
      <c r="G124" s="18" t="n">
        <f aca="false">IFERROR(D124/E124,0)</f>
        <v>0.0024</v>
      </c>
      <c r="H124" s="2"/>
      <c r="I124" s="2"/>
    </row>
    <row r="125" customFormat="false" ht="15" hidden="false" customHeight="false" outlineLevel="0" collapsed="false">
      <c r="A125" s="2" t="n">
        <v>124</v>
      </c>
      <c r="B125" s="2" t="s">
        <v>180</v>
      </c>
      <c r="C125" s="2" t="s">
        <v>174</v>
      </c>
      <c r="D125" s="16" t="n">
        <v>0.6</v>
      </c>
      <c r="E125" s="17" t="n">
        <v>100</v>
      </c>
      <c r="F125" s="2" t="s">
        <v>58</v>
      </c>
      <c r="G125" s="18" t="n">
        <f aca="false">IFERROR(D125/E125,0)</f>
        <v>0.006</v>
      </c>
      <c r="H125" s="2"/>
      <c r="I125" s="2"/>
    </row>
    <row r="126" customFormat="false" ht="15" hidden="false" customHeight="false" outlineLevel="0" collapsed="false">
      <c r="A126" s="2" t="n">
        <v>125</v>
      </c>
      <c r="B126" s="2" t="s">
        <v>181</v>
      </c>
      <c r="C126" s="2" t="s">
        <v>174</v>
      </c>
      <c r="D126" s="16" t="n">
        <v>0.6</v>
      </c>
      <c r="E126" s="17" t="n">
        <v>100</v>
      </c>
      <c r="F126" s="2" t="s">
        <v>58</v>
      </c>
      <c r="G126" s="18" t="n">
        <f aca="false">IFERROR(D126/E126,0)</f>
        <v>0.006</v>
      </c>
      <c r="H126" s="2"/>
      <c r="I126" s="2"/>
    </row>
    <row r="127" customFormat="false" ht="15" hidden="false" customHeight="false" outlineLevel="0" collapsed="false">
      <c r="A127" s="2" t="n">
        <v>126</v>
      </c>
      <c r="B127" s="2" t="s">
        <v>182</v>
      </c>
      <c r="C127" s="2" t="s">
        <v>174</v>
      </c>
      <c r="D127" s="16" t="n">
        <v>0.012</v>
      </c>
      <c r="E127" s="17" t="n">
        <v>1</v>
      </c>
      <c r="F127" s="2" t="s">
        <v>133</v>
      </c>
      <c r="G127" s="18" t="n">
        <f aca="false">IFERROR(D127/E127,0)</f>
        <v>0.012</v>
      </c>
      <c r="H127" s="2"/>
      <c r="I127" s="2"/>
    </row>
    <row r="128" customFormat="false" ht="15" hidden="false" customHeight="false" outlineLevel="0" collapsed="false">
      <c r="A128" s="2" t="n">
        <v>127</v>
      </c>
      <c r="B128" s="2" t="s">
        <v>183</v>
      </c>
      <c r="C128" s="2" t="s">
        <v>174</v>
      </c>
      <c r="D128" s="16" t="n">
        <v>0.02</v>
      </c>
      <c r="E128" s="17" t="n">
        <v>1</v>
      </c>
      <c r="F128" s="2" t="s">
        <v>133</v>
      </c>
      <c r="G128" s="18" t="n">
        <f aca="false">IFERROR(D128/E128,0)</f>
        <v>0.02</v>
      </c>
      <c r="H128" s="2"/>
      <c r="I128" s="2"/>
    </row>
    <row r="129" customFormat="false" ht="15" hidden="false" customHeight="false" outlineLevel="0" collapsed="false">
      <c r="A129" s="2" t="n">
        <v>128</v>
      </c>
      <c r="B129" s="2" t="s">
        <v>184</v>
      </c>
      <c r="C129" s="2" t="s">
        <v>174</v>
      </c>
      <c r="D129" s="16" t="n">
        <v>0.03</v>
      </c>
      <c r="E129" s="17" t="n">
        <v>1</v>
      </c>
      <c r="F129" s="2" t="s">
        <v>133</v>
      </c>
      <c r="G129" s="18" t="n">
        <f aca="false">IFERROR(D129/E129,0)</f>
        <v>0.03</v>
      </c>
      <c r="H129" s="2"/>
      <c r="I129" s="2"/>
    </row>
    <row r="130" customFormat="false" ht="15" hidden="false" customHeight="false" outlineLevel="0" collapsed="false">
      <c r="A130" s="2" t="n">
        <v>129</v>
      </c>
      <c r="B130" s="2" t="s">
        <v>185</v>
      </c>
      <c r="C130" s="2" t="s">
        <v>174</v>
      </c>
      <c r="D130" s="16" t="n">
        <v>0.04</v>
      </c>
      <c r="E130" s="17" t="n">
        <v>1</v>
      </c>
      <c r="F130" s="2" t="s">
        <v>133</v>
      </c>
      <c r="G130" s="18" t="n">
        <f aca="false">IFERROR(D130/E130,0)</f>
        <v>0.04</v>
      </c>
      <c r="H130" s="2"/>
      <c r="I130" s="2"/>
    </row>
    <row r="131" customFormat="false" ht="15" hidden="false" customHeight="false" outlineLevel="0" collapsed="false">
      <c r="A131" s="2" t="n">
        <v>130</v>
      </c>
      <c r="B131" s="2" t="s">
        <v>186</v>
      </c>
      <c r="C131" s="2" t="s">
        <v>174</v>
      </c>
      <c r="D131" s="16" t="n">
        <v>0.01</v>
      </c>
      <c r="E131" s="17" t="n">
        <v>1</v>
      </c>
      <c r="F131" s="2" t="s">
        <v>133</v>
      </c>
      <c r="G131" s="18" t="n">
        <f aca="false">IFERROR(D131/E131,0)</f>
        <v>0.01</v>
      </c>
      <c r="H131" s="2"/>
      <c r="I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" hidden="false" customHeight="false" outlineLevel="0" collapsed="false">
      <c r="A133" s="2"/>
      <c r="B133" s="19" t="s">
        <v>187</v>
      </c>
      <c r="C133" s="2"/>
      <c r="D133" s="2"/>
      <c r="E133" s="2"/>
      <c r="F133" s="2"/>
      <c r="G133" s="2"/>
      <c r="H133" s="2"/>
      <c r="I1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13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188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25</v>
      </c>
      <c r="C5" s="17" t="n">
        <v>190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0.00101777777777778</v>
      </c>
      <c r="F5" s="20" t="n">
        <f aca="false">C5*E5</f>
        <v>0.193377777777778</v>
      </c>
    </row>
    <row r="6" customFormat="false" ht="15" hidden="false" customHeight="false" outlineLevel="0" collapsed="false">
      <c r="A6" s="2" t="n">
        <v>2</v>
      </c>
      <c r="B6" s="2" t="s">
        <v>167</v>
      </c>
      <c r="C6" s="17" t="n">
        <v>20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0.00217647058823529</v>
      </c>
      <c r="F6" s="20" t="n">
        <f aca="false">C6*E6</f>
        <v>0.0435294117647059</v>
      </c>
    </row>
    <row r="7" customFormat="false" ht="15" hidden="false" customHeight="false" outlineLevel="0" collapsed="false">
      <c r="A7" s="2" t="n">
        <v>3</v>
      </c>
      <c r="B7" s="2" t="s">
        <v>161</v>
      </c>
      <c r="C7" s="17" t="n">
        <v>15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0.0009696</v>
      </c>
      <c r="F7" s="20" t="n">
        <f aca="false">C7*E7</f>
        <v>0.014544</v>
      </c>
    </row>
    <row r="8" customFormat="false" ht="15" hidden="false" customHeight="false" outlineLevel="0" collapsed="false">
      <c r="A8" s="2" t="n">
        <v>4</v>
      </c>
      <c r="B8" s="2" t="s">
        <v>150</v>
      </c>
      <c r="C8" s="17" t="n">
        <v>30</v>
      </c>
      <c r="D8" s="2" t="str">
        <f aca="false">IFERROR(INDEX(LIST!$F$2:$F$131,MATCH(B8,LIST!$B$2:$B$131,0)),"")</f>
        <v>ml</v>
      </c>
      <c r="E8" s="18" t="n">
        <f aca="false">IFERROR(INDEX(LIST!$G$2:$G$131,MATCH(B8,LIST!$B$2:$B$131,0)),0)</f>
        <v>0.000594</v>
      </c>
      <c r="F8" s="20" t="n">
        <f aca="false">C8*E8</f>
        <v>0.01782</v>
      </c>
    </row>
    <row r="9" customFormat="false" ht="15" hidden="false" customHeight="false" outlineLevel="0" collapsed="false">
      <c r="A9" s="2" t="n">
        <v>5</v>
      </c>
      <c r="B9" s="2" t="s">
        <v>76</v>
      </c>
      <c r="C9" s="17" t="n">
        <v>60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0.00045</v>
      </c>
      <c r="F9" s="20" t="n">
        <f aca="false">C9*E9</f>
        <v>0.027</v>
      </c>
    </row>
    <row r="10" customFormat="false" ht="15" hidden="false" customHeight="false" outlineLevel="0" collapsed="false">
      <c r="A10" s="2" t="n">
        <v>6</v>
      </c>
      <c r="B10" s="2" t="s">
        <v>164</v>
      </c>
      <c r="C10" s="17" t="n">
        <v>120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0.0006</v>
      </c>
      <c r="F10" s="20" t="n">
        <f aca="false">C10*E10</f>
        <v>0.072</v>
      </c>
    </row>
    <row r="11" customFormat="false" ht="15" hidden="false" customHeight="false" outlineLevel="0" collapsed="false">
      <c r="A11" s="2" t="n">
        <v>7</v>
      </c>
      <c r="B11" s="2" t="s">
        <v>59</v>
      </c>
      <c r="C11" s="17" t="n">
        <v>1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0.00172727272727273</v>
      </c>
      <c r="F11" s="20" t="n">
        <f aca="false">C11*E11</f>
        <v>0.00172727272727273</v>
      </c>
    </row>
    <row r="12" customFormat="false" ht="15" hidden="false" customHeight="false" outlineLevel="0" collapsed="false">
      <c r="A12" s="2" t="n">
        <v>8</v>
      </c>
      <c r="B12" s="2" t="s">
        <v>68</v>
      </c>
      <c r="C12" s="17" t="n">
        <v>10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0.00065</v>
      </c>
      <c r="F12" s="20" t="n">
        <f aca="false">C12*E12</f>
        <v>0.0065</v>
      </c>
    </row>
    <row r="13" customFormat="false" ht="15" hidden="false" customHeight="false" outlineLevel="0" collapsed="false">
      <c r="A13" s="2" t="n">
        <v>9</v>
      </c>
      <c r="B13" s="2" t="s">
        <v>108</v>
      </c>
      <c r="C13" s="17" t="n">
        <v>1.25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0.00165</v>
      </c>
      <c r="F13" s="20" t="n">
        <f aca="false">C13*E13</f>
        <v>0.0020625</v>
      </c>
    </row>
    <row r="14" customFormat="false" ht="15" hidden="false" customHeight="false" outlineLevel="0" collapsed="false">
      <c r="A14" s="2" t="n">
        <v>10</v>
      </c>
      <c r="B14" s="2" t="s">
        <v>117</v>
      </c>
      <c r="C14" s="17" t="n">
        <v>1.25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0.0018</v>
      </c>
      <c r="F14" s="20" t="n">
        <f aca="false">C14*E14</f>
        <v>0.00225</v>
      </c>
    </row>
    <row r="15" customFormat="false" ht="15" hidden="false" customHeight="false" outlineLevel="0" collapsed="false">
      <c r="A15" s="2" t="n">
        <v>11</v>
      </c>
      <c r="B15" s="2" t="s">
        <v>102</v>
      </c>
      <c r="C15" s="17" t="n">
        <v>1.25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0.002818</v>
      </c>
      <c r="F15" s="20" t="n">
        <f aca="false">C15*E15</f>
        <v>0.0035225</v>
      </c>
    </row>
    <row r="16" customFormat="false" ht="15" hidden="false" customHeight="false" outlineLevel="0" collapsed="false">
      <c r="A16" s="2" t="n">
        <v>12</v>
      </c>
      <c r="B16" s="2" t="s">
        <v>118</v>
      </c>
      <c r="C16" s="17" t="n">
        <v>2.5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0.004</v>
      </c>
      <c r="F16" s="20" t="n">
        <f aca="false">C16*E16</f>
        <v>0.01</v>
      </c>
    </row>
    <row r="17" customFormat="false" ht="15" hidden="false" customHeight="false" outlineLevel="0" collapsed="false">
      <c r="A17" s="2" t="n">
        <v>13</v>
      </c>
      <c r="B17" s="2" t="s">
        <v>100</v>
      </c>
      <c r="C17" s="17" t="n">
        <v>1.25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0.00165</v>
      </c>
      <c r="F17" s="20" t="n">
        <f aca="false">C17*E17</f>
        <v>0.0020625</v>
      </c>
    </row>
    <row r="18" customFormat="false" ht="15" hidden="false" customHeight="false" outlineLevel="0" collapsed="false">
      <c r="A18" s="2" t="n">
        <v>14</v>
      </c>
      <c r="B18" s="2" t="s">
        <v>115</v>
      </c>
      <c r="C18" s="17" t="n">
        <v>2.5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0.000165</v>
      </c>
      <c r="F18" s="20" t="n">
        <f aca="false">C18*E18</f>
        <v>0.0004125</v>
      </c>
    </row>
    <row r="19" customFormat="false" ht="15" hidden="false" customHeight="false" outlineLevel="0" collapsed="false">
      <c r="A19" s="2"/>
      <c r="B19" s="4" t="s">
        <v>191</v>
      </c>
      <c r="C19" s="2"/>
      <c r="D19" s="2"/>
      <c r="E19" s="2"/>
      <c r="F19" s="21" t="n">
        <f aca="false">SUM(F5:F18)</f>
        <v>0.396808462269756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4" t="s">
        <v>192</v>
      </c>
      <c r="C21" s="22" t="s">
        <v>5</v>
      </c>
      <c r="D21" s="23" t="s">
        <v>6</v>
      </c>
      <c r="E21" s="24" t="s">
        <v>7</v>
      </c>
      <c r="F21" s="2"/>
    </row>
    <row r="22" customFormat="false" ht="15" hidden="false" customHeight="false" outlineLevel="0" collapsed="false">
      <c r="A22" s="2"/>
      <c r="B22" s="25" t="s">
        <v>193</v>
      </c>
      <c r="C22" s="26" t="n">
        <v>1</v>
      </c>
      <c r="D22" s="27" t="n">
        <v>2</v>
      </c>
      <c r="E22" s="28" t="n">
        <v>4</v>
      </c>
      <c r="F22" s="2"/>
    </row>
    <row r="23" customFormat="false" ht="15" hidden="false" customHeight="false" outlineLevel="0" collapsed="false">
      <c r="A23" s="2"/>
      <c r="B23" s="25" t="s">
        <v>194</v>
      </c>
      <c r="C23" s="29" t="n">
        <f aca="false">$F$19*C22</f>
        <v>0.396808462269756</v>
      </c>
      <c r="D23" s="30" t="n">
        <f aca="false">$F$19*D22</f>
        <v>0.793616924539513</v>
      </c>
      <c r="E23" s="31" t="n">
        <f aca="false">$F$19*E22</f>
        <v>1.58723384907903</v>
      </c>
      <c r="F23" s="2"/>
    </row>
    <row r="24" customFormat="false" ht="15" hidden="false" customHeight="false" outlineLevel="0" collapsed="false">
      <c r="A24" s="2"/>
      <c r="B24" s="25" t="s">
        <v>195</v>
      </c>
      <c r="C24" s="32" t="s">
        <v>176</v>
      </c>
      <c r="D24" s="33" t="s">
        <v>177</v>
      </c>
      <c r="E24" s="34" t="s">
        <v>178</v>
      </c>
      <c r="F24" s="2"/>
    </row>
    <row r="25" customFormat="false" ht="15" hidden="false" customHeight="false" outlineLevel="0" collapsed="false">
      <c r="A25" s="2"/>
      <c r="B25" s="25" t="s">
        <v>196</v>
      </c>
      <c r="C25" s="29" t="n">
        <f aca="false">IFERROR(INDEX(LIST!$G$2:$G$131,MATCH(C24,LIST!$B$2:$B$131,0)),0)</f>
        <v>0.021</v>
      </c>
      <c r="D25" s="30" t="n">
        <f aca="false">IFERROR(INDEX(LIST!$G$2:$G$131,MATCH(D24,LIST!$B$2:$B$131,0)),0)</f>
        <v>0.0315</v>
      </c>
      <c r="E25" s="31" t="n">
        <f aca="false">IFERROR(INDEX(LIST!$G$2:$G$131,MATCH(E24,LIST!$B$2:$B$131,0)),0)</f>
        <v>0.116666666666667</v>
      </c>
      <c r="F25" s="2"/>
    </row>
    <row r="26" customFormat="false" ht="15" hidden="false" customHeight="false" outlineLevel="0" collapsed="false">
      <c r="A26" s="2"/>
      <c r="B26" s="25" t="s">
        <v>197</v>
      </c>
      <c r="C26" s="26" t="n">
        <v>1</v>
      </c>
      <c r="D26" s="27" t="n">
        <v>2</v>
      </c>
      <c r="E26" s="28" t="n">
        <v>3</v>
      </c>
      <c r="F26" s="2"/>
    </row>
    <row r="27" customFormat="false" ht="15" hidden="false" customHeight="false" outlineLevel="0" collapsed="false">
      <c r="A27" s="2"/>
      <c r="B27" s="25" t="s">
        <v>198</v>
      </c>
      <c r="C27" s="29" t="n">
        <f aca="false">C26*IFERROR(INDEX(LIST!$G$2:$G$131,MATCH("SPOON",LIST!$B$2:$B$131,0)),0)</f>
        <v>0.0064</v>
      </c>
      <c r="D27" s="30" t="n">
        <f aca="false">D26*IFERROR(INDEX(LIST!$G$2:$G$131,MATCH("SPOON",LIST!$B$2:$B$131,0)),0)</f>
        <v>0.0128</v>
      </c>
      <c r="E27" s="31" t="n">
        <f aca="false">E26*IFERROR(INDEX(LIST!$G$2:$G$131,MATCH("SPOON",LIST!$B$2:$B$131,0)),0)</f>
        <v>0.0192</v>
      </c>
      <c r="F27" s="2"/>
    </row>
    <row r="28" customFormat="false" ht="15" hidden="false" customHeight="false" outlineLevel="0" collapsed="false">
      <c r="A28" s="2"/>
      <c r="B28" s="25" t="s">
        <v>199</v>
      </c>
      <c r="C28" s="26" t="n">
        <v>1</v>
      </c>
      <c r="D28" s="27" t="n">
        <v>2</v>
      </c>
      <c r="E28" s="28" t="n">
        <v>4</v>
      </c>
      <c r="F28" s="2"/>
    </row>
    <row r="29" customFormat="false" ht="15" hidden="false" customHeight="false" outlineLevel="0" collapsed="false">
      <c r="A29" s="2"/>
      <c r="B29" s="25" t="s">
        <v>200</v>
      </c>
      <c r="C29" s="29" t="n">
        <f aca="false">C28*IFERROR(INDEX(LIST!$G$2:$G$131,MATCH("Bread",LIST!$B$2:$B$131,0)),0)</f>
        <v>0.012</v>
      </c>
      <c r="D29" s="30" t="n">
        <f aca="false">D28*IFERROR(INDEX(LIST!$G$2:$G$131,MATCH("Bread",LIST!$B$2:$B$131,0)),0)</f>
        <v>0.024</v>
      </c>
      <c r="E29" s="31" t="n">
        <f aca="false">E28*IFERROR(INDEX(LIST!$G$2:$G$131,MATCH("Bread",LIST!$B$2:$B$131,0)),0)</f>
        <v>0.048</v>
      </c>
      <c r="F29" s="2"/>
    </row>
    <row r="30" customFormat="false" ht="15" hidden="false" customHeight="false" outlineLevel="0" collapsed="false">
      <c r="A30" s="2"/>
      <c r="B30" s="25" t="s">
        <v>201</v>
      </c>
      <c r="C30" s="32" t="s">
        <v>183</v>
      </c>
      <c r="D30" s="33" t="s">
        <v>184</v>
      </c>
      <c r="E30" s="34" t="s">
        <v>185</v>
      </c>
      <c r="F30" s="2"/>
    </row>
    <row r="31" customFormat="false" ht="15" hidden="false" customHeight="false" outlineLevel="0" collapsed="false">
      <c r="A31" s="2"/>
      <c r="B31" s="25" t="s">
        <v>202</v>
      </c>
      <c r="C31" s="29" t="n">
        <f aca="false">IFERROR(INDEX(LIST!$G$2:$G$131,MATCH(C30,LIST!$B$2:$B$131,0)),0)</f>
        <v>0.02</v>
      </c>
      <c r="D31" s="30" t="n">
        <f aca="false">IFERROR(INDEX(LIST!$G$2:$G$131,MATCH(D30,LIST!$B$2:$B$131,0)),0)</f>
        <v>0.03</v>
      </c>
      <c r="E31" s="31" t="n">
        <f aca="false">IFERROR(INDEX(LIST!$G$2:$G$131,MATCH(E30,LIST!$B$2:$B$131,0)),0)</f>
        <v>0.04</v>
      </c>
      <c r="F31" s="2"/>
    </row>
    <row r="32" customFormat="false" ht="15" hidden="false" customHeight="false" outlineLevel="0" collapsed="false">
      <c r="A32" s="2"/>
      <c r="B32" s="25" t="s">
        <v>203</v>
      </c>
      <c r="C32" s="35" t="n">
        <v>0</v>
      </c>
      <c r="D32" s="36" t="n">
        <v>0</v>
      </c>
      <c r="E32" s="37" t="n">
        <v>0</v>
      </c>
      <c r="F32" s="2"/>
    </row>
    <row r="33" customFormat="false" ht="15" hidden="false" customHeight="false" outlineLevel="0" collapsed="false">
      <c r="A33" s="2"/>
      <c r="B33" s="25" t="s">
        <v>204</v>
      </c>
      <c r="C33" s="29" t="n">
        <f aca="false">C25+C27+C29+C31+C32</f>
        <v>0.0594</v>
      </c>
      <c r="D33" s="30" t="n">
        <f aca="false">D25+D27+D29+D31+D32</f>
        <v>0.0983</v>
      </c>
      <c r="E33" s="31" t="n">
        <f aca="false">E25+E27+E29+E31+E32</f>
        <v>0.223866666666667</v>
      </c>
      <c r="F33" s="2"/>
    </row>
    <row r="34" customFormat="false" ht="15" hidden="false" customHeight="false" outlineLevel="0" collapsed="false">
      <c r="A34" s="2"/>
      <c r="B34" s="4" t="s">
        <v>205</v>
      </c>
      <c r="C34" s="38" t="n">
        <f aca="false">C23+C33</f>
        <v>0.456208462269756</v>
      </c>
      <c r="D34" s="39" t="n">
        <f aca="false">D23+D33</f>
        <v>0.891916924539513</v>
      </c>
      <c r="E34" s="40" t="n">
        <f aca="false">E23+E33</f>
        <v>1.81110051574569</v>
      </c>
      <c r="F34" s="2"/>
    </row>
    <row r="35" customFormat="false" ht="15" hidden="false" customHeight="false" outlineLevel="0" collapsed="false">
      <c r="A35" s="2"/>
      <c r="B35" s="25" t="s">
        <v>9</v>
      </c>
      <c r="C35" s="35" t="n">
        <v>1.5</v>
      </c>
      <c r="D35" s="36" t="n">
        <v>2.8</v>
      </c>
      <c r="E35" s="37" t="n">
        <v>5.4</v>
      </c>
      <c r="F35" s="2"/>
    </row>
    <row r="36" customFormat="false" ht="15" hidden="false" customHeight="false" outlineLevel="0" collapsed="false">
      <c r="A36" s="2"/>
      <c r="B36" s="4" t="s">
        <v>206</v>
      </c>
      <c r="C36" s="41" t="n">
        <f aca="false">IF(C35=0,"",C34/C35)</f>
        <v>0.304138974846504</v>
      </c>
      <c r="D36" s="42" t="n">
        <f aca="false">IF(D35=0,"",D34/D35)</f>
        <v>0.318541758764112</v>
      </c>
      <c r="E36" s="43" t="n">
        <f aca="false">IF(E35=0,"",E34/E35)</f>
        <v>0.33538898439735</v>
      </c>
      <c r="F36" s="2"/>
    </row>
    <row r="37" customFormat="false" ht="15" hidden="false" customHeight="false" outlineLevel="0" collapsed="false">
      <c r="A37" s="2"/>
      <c r="B37" s="25" t="s">
        <v>11</v>
      </c>
      <c r="C37" s="35" t="n">
        <v>1.9</v>
      </c>
      <c r="D37" s="36" t="n">
        <v>3.4</v>
      </c>
      <c r="E37" s="37" t="n">
        <v>6.4</v>
      </c>
      <c r="F37" s="2"/>
    </row>
    <row r="38" customFormat="false" ht="15" hidden="false" customHeight="false" outlineLevel="0" collapsed="false">
      <c r="A38" s="2"/>
      <c r="B38" s="4" t="s">
        <v>207</v>
      </c>
      <c r="C38" s="41" t="n">
        <f aca="false">IF(N(C37)=0,"",C34/C37)</f>
        <v>0.240109716984082</v>
      </c>
      <c r="D38" s="42" t="n">
        <f aca="false">IF(N(D37)=0,"",D34/D37)</f>
        <v>0.262328507217504</v>
      </c>
      <c r="E38" s="43" t="n">
        <f aca="false">IF(N(E37)=0,"",E34/E37)</f>
        <v>0.282984455585264</v>
      </c>
      <c r="F38" s="2"/>
    </row>
    <row r="39" customFormat="false" ht="15" hidden="false" customHeight="false" outlineLevel="0" collapsed="false">
      <c r="A39" s="2"/>
      <c r="B39" s="25" t="s">
        <v>208</v>
      </c>
      <c r="C39" s="29" t="n">
        <f aca="false">C35-C34</f>
        <v>1.04379153773024</v>
      </c>
      <c r="D39" s="30" t="n">
        <f aca="false">D35-D34</f>
        <v>1.90808307546049</v>
      </c>
      <c r="E39" s="31" t="n">
        <f aca="false">E35-E34</f>
        <v>3.58889948425431</v>
      </c>
      <c r="F39" s="2"/>
    </row>
    <row r="40" customFormat="false" ht="15" hidden="false" customHeight="false" outlineLevel="0" collapsed="false">
      <c r="A40" s="2"/>
      <c r="B40" s="25" t="s">
        <v>209</v>
      </c>
      <c r="C40" s="29" t="n">
        <f aca="false">IF(N(C37)=0,"",C37-C34)</f>
        <v>1.44379153773024</v>
      </c>
      <c r="D40" s="30" t="n">
        <f aca="false">IF(N(D37)=0,"",D37-D34)</f>
        <v>2.50808307546049</v>
      </c>
      <c r="E40" s="31" t="n">
        <f aca="false">IF(N(E37)=0,"",E37-E34)</f>
        <v>4.58889948425431</v>
      </c>
      <c r="F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15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138</v>
      </c>
      <c r="C5" s="17" t="n">
        <v>190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0.000947368421052632</v>
      </c>
      <c r="F5" s="20" t="n">
        <f aca="false">C5*E5</f>
        <v>0.18</v>
      </c>
    </row>
    <row r="6" customFormat="false" ht="15" hidden="false" customHeight="false" outlineLevel="0" collapsed="false">
      <c r="A6" s="2" t="n">
        <v>2</v>
      </c>
      <c r="B6" s="2" t="s">
        <v>167</v>
      </c>
      <c r="C6" s="17" t="n">
        <v>10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0.00217647058823529</v>
      </c>
      <c r="F6" s="20" t="n">
        <f aca="false">C6*E6</f>
        <v>0.0217647058823529</v>
      </c>
    </row>
    <row r="7" customFormat="false" ht="15" hidden="false" customHeight="false" outlineLevel="0" collapsed="false">
      <c r="A7" s="2" t="n">
        <v>3</v>
      </c>
      <c r="B7" s="2" t="s">
        <v>161</v>
      </c>
      <c r="C7" s="17" t="n">
        <v>15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0.0009696</v>
      </c>
      <c r="F7" s="20" t="n">
        <f aca="false">C7*E7</f>
        <v>0.014544</v>
      </c>
    </row>
    <row r="8" customFormat="false" ht="15" hidden="false" customHeight="false" outlineLevel="0" collapsed="false">
      <c r="A8" s="2" t="n">
        <v>4</v>
      </c>
      <c r="B8" s="2" t="s">
        <v>150</v>
      </c>
      <c r="C8" s="17" t="n">
        <v>30</v>
      </c>
      <c r="D8" s="2" t="str">
        <f aca="false">IFERROR(INDEX(LIST!$F$2:$F$131,MATCH(B8,LIST!$B$2:$B$131,0)),"")</f>
        <v>ml</v>
      </c>
      <c r="E8" s="18" t="n">
        <f aca="false">IFERROR(INDEX(LIST!$G$2:$G$131,MATCH(B8,LIST!$B$2:$B$131,0)),0)</f>
        <v>0.000594</v>
      </c>
      <c r="F8" s="20" t="n">
        <f aca="false">C8*E8</f>
        <v>0.01782</v>
      </c>
    </row>
    <row r="9" customFormat="false" ht="15" hidden="false" customHeight="false" outlineLevel="0" collapsed="false">
      <c r="A9" s="2" t="n">
        <v>5</v>
      </c>
      <c r="B9" s="2" t="s">
        <v>76</v>
      </c>
      <c r="C9" s="17" t="n">
        <v>60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0.00045</v>
      </c>
      <c r="F9" s="20" t="n">
        <f aca="false">C9*E9</f>
        <v>0.027</v>
      </c>
    </row>
    <row r="10" customFormat="false" ht="15" hidden="false" customHeight="false" outlineLevel="0" collapsed="false">
      <c r="A10" s="2" t="n">
        <v>6</v>
      </c>
      <c r="B10" s="2" t="s">
        <v>81</v>
      </c>
      <c r="C10" s="17" t="n">
        <v>120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0.0005</v>
      </c>
      <c r="F10" s="20" t="n">
        <f aca="false">C10*E10</f>
        <v>0.06</v>
      </c>
    </row>
    <row r="11" customFormat="false" ht="15" hidden="false" customHeight="false" outlineLevel="0" collapsed="false">
      <c r="A11" s="2" t="n">
        <v>7</v>
      </c>
      <c r="B11" s="2" t="s">
        <v>59</v>
      </c>
      <c r="C11" s="17" t="n">
        <v>1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0.00172727272727273</v>
      </c>
      <c r="F11" s="20" t="n">
        <f aca="false">C11*E11</f>
        <v>0.00172727272727273</v>
      </c>
    </row>
    <row r="12" customFormat="false" ht="15" hidden="false" customHeight="false" outlineLevel="0" collapsed="false">
      <c r="A12" s="2" t="n">
        <v>8</v>
      </c>
      <c r="B12" s="2" t="s">
        <v>68</v>
      </c>
      <c r="C12" s="17" t="n">
        <v>10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0.00065</v>
      </c>
      <c r="F12" s="20" t="n">
        <f aca="false">C12*E12</f>
        <v>0.0065</v>
      </c>
    </row>
    <row r="13" customFormat="false" ht="15" hidden="false" customHeight="false" outlineLevel="0" collapsed="false">
      <c r="A13" s="2" t="n">
        <v>9</v>
      </c>
      <c r="B13" s="2" t="s">
        <v>108</v>
      </c>
      <c r="C13" s="17" t="n">
        <v>1.25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0.00165</v>
      </c>
      <c r="F13" s="20" t="n">
        <f aca="false">C13*E13</f>
        <v>0.0020625</v>
      </c>
    </row>
    <row r="14" customFormat="false" ht="15" hidden="false" customHeight="false" outlineLevel="0" collapsed="false">
      <c r="A14" s="2" t="n">
        <v>10</v>
      </c>
      <c r="B14" s="2" t="s">
        <v>117</v>
      </c>
      <c r="C14" s="17" t="n">
        <v>1.25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0.0018</v>
      </c>
      <c r="F14" s="20" t="n">
        <f aca="false">C14*E14</f>
        <v>0.00225</v>
      </c>
    </row>
    <row r="15" customFormat="false" ht="15" hidden="false" customHeight="false" outlineLevel="0" collapsed="false">
      <c r="A15" s="2" t="n">
        <v>11</v>
      </c>
      <c r="B15" s="2" t="s">
        <v>102</v>
      </c>
      <c r="C15" s="17" t="n">
        <v>1.25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0.002818</v>
      </c>
      <c r="F15" s="20" t="n">
        <f aca="false">C15*E15</f>
        <v>0.0035225</v>
      </c>
    </row>
    <row r="16" customFormat="false" ht="15" hidden="false" customHeight="false" outlineLevel="0" collapsed="false">
      <c r="A16" s="2" t="n">
        <v>12</v>
      </c>
      <c r="B16" s="2" t="s">
        <v>118</v>
      </c>
      <c r="C16" s="17" t="n">
        <v>2.5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0.004</v>
      </c>
      <c r="F16" s="20" t="n">
        <f aca="false">C16*E16</f>
        <v>0.01</v>
      </c>
    </row>
    <row r="17" customFormat="false" ht="15" hidden="false" customHeight="false" outlineLevel="0" collapsed="false">
      <c r="A17" s="2" t="n">
        <v>13</v>
      </c>
      <c r="B17" s="2" t="s">
        <v>100</v>
      </c>
      <c r="C17" s="17" t="n">
        <v>1.25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0.00165</v>
      </c>
      <c r="F17" s="20" t="n">
        <f aca="false">C17*E17</f>
        <v>0.0020625</v>
      </c>
    </row>
    <row r="18" customFormat="false" ht="15" hidden="false" customHeight="false" outlineLevel="0" collapsed="false">
      <c r="A18" s="2" t="n">
        <v>14</v>
      </c>
      <c r="B18" s="2" t="s">
        <v>115</v>
      </c>
      <c r="C18" s="17" t="n">
        <v>2.5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0.000165</v>
      </c>
      <c r="F18" s="20" t="n">
        <f aca="false">C18*E18</f>
        <v>0.0004125</v>
      </c>
    </row>
    <row r="19" customFormat="false" ht="15" hidden="false" customHeight="false" outlineLevel="0" collapsed="false">
      <c r="A19" s="2"/>
      <c r="B19" s="4" t="s">
        <v>191</v>
      </c>
      <c r="C19" s="2"/>
      <c r="D19" s="2"/>
      <c r="E19" s="2"/>
      <c r="F19" s="21" t="n">
        <f aca="false">SUM(F5:F18)</f>
        <v>0.349665978609626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4" t="s">
        <v>192</v>
      </c>
      <c r="C21" s="22" t="s">
        <v>5</v>
      </c>
      <c r="D21" s="23" t="s">
        <v>6</v>
      </c>
      <c r="E21" s="24" t="s">
        <v>7</v>
      </c>
      <c r="F21" s="2"/>
    </row>
    <row r="22" customFormat="false" ht="15" hidden="false" customHeight="false" outlineLevel="0" collapsed="false">
      <c r="A22" s="2"/>
      <c r="B22" s="25" t="s">
        <v>193</v>
      </c>
      <c r="C22" s="26" t="n">
        <v>1</v>
      </c>
      <c r="D22" s="27" t="n">
        <v>2</v>
      </c>
      <c r="E22" s="28" t="n">
        <v>4</v>
      </c>
      <c r="F22" s="2"/>
    </row>
    <row r="23" customFormat="false" ht="15" hidden="false" customHeight="false" outlineLevel="0" collapsed="false">
      <c r="A23" s="2"/>
      <c r="B23" s="25" t="s">
        <v>194</v>
      </c>
      <c r="C23" s="29" t="n">
        <f aca="false">$F$19*C22</f>
        <v>0.349665978609626</v>
      </c>
      <c r="D23" s="30" t="n">
        <f aca="false">$F$19*D22</f>
        <v>0.699331957219251</v>
      </c>
      <c r="E23" s="31" t="n">
        <f aca="false">$F$19*E22</f>
        <v>1.3986639144385</v>
      </c>
      <c r="F23" s="2"/>
    </row>
    <row r="24" customFormat="false" ht="15" hidden="false" customHeight="false" outlineLevel="0" collapsed="false">
      <c r="A24" s="2"/>
      <c r="B24" s="25" t="s">
        <v>195</v>
      </c>
      <c r="C24" s="32" t="s">
        <v>176</v>
      </c>
      <c r="D24" s="33" t="s">
        <v>177</v>
      </c>
      <c r="E24" s="34" t="s">
        <v>178</v>
      </c>
      <c r="F24" s="2"/>
    </row>
    <row r="25" customFormat="false" ht="15" hidden="false" customHeight="false" outlineLevel="0" collapsed="false">
      <c r="A25" s="2"/>
      <c r="B25" s="25" t="s">
        <v>196</v>
      </c>
      <c r="C25" s="29" t="n">
        <f aca="false">IFERROR(INDEX(LIST!$G$2:$G$131,MATCH(C24,LIST!$B$2:$B$131,0)),0)</f>
        <v>0.021</v>
      </c>
      <c r="D25" s="30" t="n">
        <f aca="false">IFERROR(INDEX(LIST!$G$2:$G$131,MATCH(D24,LIST!$B$2:$B$131,0)),0)</f>
        <v>0.0315</v>
      </c>
      <c r="E25" s="31" t="n">
        <f aca="false">IFERROR(INDEX(LIST!$G$2:$G$131,MATCH(E24,LIST!$B$2:$B$131,0)),0)</f>
        <v>0.116666666666667</v>
      </c>
      <c r="F25" s="2"/>
    </row>
    <row r="26" customFormat="false" ht="15" hidden="false" customHeight="false" outlineLevel="0" collapsed="false">
      <c r="A26" s="2"/>
      <c r="B26" s="25" t="s">
        <v>197</v>
      </c>
      <c r="C26" s="26" t="n">
        <v>1</v>
      </c>
      <c r="D26" s="27" t="n">
        <v>2</v>
      </c>
      <c r="E26" s="28" t="n">
        <v>3</v>
      </c>
      <c r="F26" s="2"/>
    </row>
    <row r="27" customFormat="false" ht="15" hidden="false" customHeight="false" outlineLevel="0" collapsed="false">
      <c r="A27" s="2"/>
      <c r="B27" s="25" t="s">
        <v>198</v>
      </c>
      <c r="C27" s="29" t="n">
        <f aca="false">C26*IFERROR(INDEX(LIST!$G$2:$G$131,MATCH("SPOON",LIST!$B$2:$B$131,0)),0)</f>
        <v>0.0064</v>
      </c>
      <c r="D27" s="30" t="n">
        <f aca="false">D26*IFERROR(INDEX(LIST!$G$2:$G$131,MATCH("SPOON",LIST!$B$2:$B$131,0)),0)</f>
        <v>0.0128</v>
      </c>
      <c r="E27" s="31" t="n">
        <f aca="false">E26*IFERROR(INDEX(LIST!$G$2:$G$131,MATCH("SPOON",LIST!$B$2:$B$131,0)),0)</f>
        <v>0.0192</v>
      </c>
      <c r="F27" s="2"/>
    </row>
    <row r="28" customFormat="false" ht="15" hidden="false" customHeight="false" outlineLevel="0" collapsed="false">
      <c r="A28" s="2"/>
      <c r="B28" s="25" t="s">
        <v>199</v>
      </c>
      <c r="C28" s="26" t="n">
        <v>1</v>
      </c>
      <c r="D28" s="27" t="n">
        <v>2</v>
      </c>
      <c r="E28" s="28" t="n">
        <v>4</v>
      </c>
      <c r="F28" s="2"/>
    </row>
    <row r="29" customFormat="false" ht="15" hidden="false" customHeight="false" outlineLevel="0" collapsed="false">
      <c r="A29" s="2"/>
      <c r="B29" s="25" t="s">
        <v>200</v>
      </c>
      <c r="C29" s="29" t="n">
        <f aca="false">C28*IFERROR(INDEX(LIST!$G$2:$G$131,MATCH("Bread",LIST!$B$2:$B$131,0)),0)</f>
        <v>0.012</v>
      </c>
      <c r="D29" s="30" t="n">
        <f aca="false">D28*IFERROR(INDEX(LIST!$G$2:$G$131,MATCH("Bread",LIST!$B$2:$B$131,0)),0)</f>
        <v>0.024</v>
      </c>
      <c r="E29" s="31" t="n">
        <f aca="false">E28*IFERROR(INDEX(LIST!$G$2:$G$131,MATCH("Bread",LIST!$B$2:$B$131,0)),0)</f>
        <v>0.048</v>
      </c>
      <c r="F29" s="2"/>
    </row>
    <row r="30" customFormat="false" ht="15" hidden="false" customHeight="false" outlineLevel="0" collapsed="false">
      <c r="A30" s="2"/>
      <c r="B30" s="25" t="s">
        <v>201</v>
      </c>
      <c r="C30" s="32" t="s">
        <v>183</v>
      </c>
      <c r="D30" s="33" t="s">
        <v>184</v>
      </c>
      <c r="E30" s="34" t="s">
        <v>185</v>
      </c>
      <c r="F30" s="2"/>
    </row>
    <row r="31" customFormat="false" ht="15" hidden="false" customHeight="false" outlineLevel="0" collapsed="false">
      <c r="A31" s="2"/>
      <c r="B31" s="25" t="s">
        <v>202</v>
      </c>
      <c r="C31" s="29" t="n">
        <f aca="false">IFERROR(INDEX(LIST!$G$2:$G$131,MATCH(C30,LIST!$B$2:$B$131,0)),0)</f>
        <v>0.02</v>
      </c>
      <c r="D31" s="30" t="n">
        <f aca="false">IFERROR(INDEX(LIST!$G$2:$G$131,MATCH(D30,LIST!$B$2:$B$131,0)),0)</f>
        <v>0.03</v>
      </c>
      <c r="E31" s="31" t="n">
        <f aca="false">IFERROR(INDEX(LIST!$G$2:$G$131,MATCH(E30,LIST!$B$2:$B$131,0)),0)</f>
        <v>0.04</v>
      </c>
      <c r="F31" s="2"/>
    </row>
    <row r="32" customFormat="false" ht="15" hidden="false" customHeight="false" outlineLevel="0" collapsed="false">
      <c r="A32" s="2"/>
      <c r="B32" s="25" t="s">
        <v>203</v>
      </c>
      <c r="C32" s="35" t="n">
        <v>0</v>
      </c>
      <c r="D32" s="36" t="n">
        <v>0</v>
      </c>
      <c r="E32" s="37" t="n">
        <v>0</v>
      </c>
      <c r="F32" s="2"/>
    </row>
    <row r="33" customFormat="false" ht="15" hidden="false" customHeight="false" outlineLevel="0" collapsed="false">
      <c r="A33" s="2"/>
      <c r="B33" s="25" t="s">
        <v>204</v>
      </c>
      <c r="C33" s="29" t="n">
        <f aca="false">C25+C27+C29+C31+C32</f>
        <v>0.0594</v>
      </c>
      <c r="D33" s="30" t="n">
        <f aca="false">D25+D27+D29+D31+D32</f>
        <v>0.0983</v>
      </c>
      <c r="E33" s="31" t="n">
        <f aca="false">E25+E27+E29+E31+E32</f>
        <v>0.223866666666667</v>
      </c>
      <c r="F33" s="2"/>
    </row>
    <row r="34" customFormat="false" ht="15" hidden="false" customHeight="false" outlineLevel="0" collapsed="false">
      <c r="A34" s="2"/>
      <c r="B34" s="4" t="s">
        <v>205</v>
      </c>
      <c r="C34" s="38" t="n">
        <f aca="false">C23+C33</f>
        <v>0.409065978609626</v>
      </c>
      <c r="D34" s="39" t="n">
        <f aca="false">D23+D33</f>
        <v>0.797631957219251</v>
      </c>
      <c r="E34" s="40" t="n">
        <f aca="false">E23+E33</f>
        <v>1.62253058110517</v>
      </c>
      <c r="F34" s="2"/>
    </row>
    <row r="35" customFormat="false" ht="15" hidden="false" customHeight="false" outlineLevel="0" collapsed="false">
      <c r="A35" s="2"/>
      <c r="B35" s="25" t="s">
        <v>9</v>
      </c>
      <c r="C35" s="35" t="n">
        <v>1.3</v>
      </c>
      <c r="D35" s="36" t="n">
        <v>2.4</v>
      </c>
      <c r="E35" s="37" t="n">
        <v>4.6</v>
      </c>
      <c r="F35" s="2"/>
    </row>
    <row r="36" customFormat="false" ht="15" hidden="false" customHeight="false" outlineLevel="0" collapsed="false">
      <c r="A36" s="2"/>
      <c r="B36" s="4" t="s">
        <v>206</v>
      </c>
      <c r="C36" s="41" t="n">
        <f aca="false">IF(C35=0,"",C34/C35)</f>
        <v>0.31466613739202</v>
      </c>
      <c r="D36" s="42" t="n">
        <f aca="false">IF(D35=0,"",D34/D35)</f>
        <v>0.332346648841355</v>
      </c>
      <c r="E36" s="43" t="n">
        <f aca="false">IF(E35=0,"",E34/E35)</f>
        <v>0.352724039370689</v>
      </c>
      <c r="F36" s="2"/>
    </row>
    <row r="37" customFormat="false" ht="15" hidden="false" customHeight="false" outlineLevel="0" collapsed="false">
      <c r="A37" s="2"/>
      <c r="B37" s="25" t="s">
        <v>11</v>
      </c>
      <c r="C37" s="35" t="n">
        <v>1.7</v>
      </c>
      <c r="D37" s="36" t="n">
        <v>3</v>
      </c>
      <c r="E37" s="37" t="n">
        <v>5.6</v>
      </c>
      <c r="F37" s="2"/>
    </row>
    <row r="38" customFormat="false" ht="15" hidden="false" customHeight="false" outlineLevel="0" collapsed="false">
      <c r="A38" s="2"/>
      <c r="B38" s="4" t="s">
        <v>207</v>
      </c>
      <c r="C38" s="41" t="n">
        <f aca="false">IF(N(C37)=0,"",C34/C37)</f>
        <v>0.240627046240956</v>
      </c>
      <c r="D38" s="42" t="n">
        <f aca="false">IF(N(D37)=0,"",D34/D37)</f>
        <v>0.265877319073084</v>
      </c>
      <c r="E38" s="43" t="n">
        <f aca="false">IF(N(E37)=0,"",E34/E37)</f>
        <v>0.28973760376878</v>
      </c>
      <c r="F38" s="2"/>
    </row>
    <row r="39" customFormat="false" ht="15" hidden="false" customHeight="false" outlineLevel="0" collapsed="false">
      <c r="A39" s="2"/>
      <c r="B39" s="25" t="s">
        <v>208</v>
      </c>
      <c r="C39" s="29" t="n">
        <f aca="false">C35-C34</f>
        <v>0.890934021390375</v>
      </c>
      <c r="D39" s="30" t="n">
        <f aca="false">D35-D34</f>
        <v>1.60236804278075</v>
      </c>
      <c r="E39" s="31" t="n">
        <f aca="false">E35-E34</f>
        <v>2.97746941889483</v>
      </c>
      <c r="F39" s="2"/>
    </row>
    <row r="40" customFormat="false" ht="15" hidden="false" customHeight="false" outlineLevel="0" collapsed="false">
      <c r="A40" s="2"/>
      <c r="B40" s="25" t="s">
        <v>209</v>
      </c>
      <c r="C40" s="29" t="n">
        <f aca="false">IF(N(C37)=0,"",C37-C34)</f>
        <v>1.29093402139037</v>
      </c>
      <c r="D40" s="30" t="n">
        <f aca="false">IF(N(D37)=0,"",D37-D34)</f>
        <v>2.20236804278075</v>
      </c>
      <c r="E40" s="31" t="n">
        <f aca="false">IF(N(E37)=0,"",E37-E34)</f>
        <v>3.97746941889483</v>
      </c>
      <c r="F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16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140</v>
      </c>
      <c r="C5" s="17" t="n">
        <v>190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0.000771052631578947</v>
      </c>
      <c r="F5" s="20" t="n">
        <f aca="false">C5*E5</f>
        <v>0.1465</v>
      </c>
    </row>
    <row r="6" customFormat="false" ht="15" hidden="false" customHeight="false" outlineLevel="0" collapsed="false">
      <c r="A6" s="2" t="n">
        <v>2</v>
      </c>
      <c r="B6" s="2" t="s">
        <v>132</v>
      </c>
      <c r="C6" s="17" t="n">
        <v>2</v>
      </c>
      <c r="D6" s="2" t="str">
        <f aca="false">IFERROR(INDEX(LIST!$F$2:$F$131,MATCH(B6,LIST!$B$2:$B$131,0)),"")</f>
        <v>pc</v>
      </c>
      <c r="E6" s="18" t="n">
        <f aca="false">IFERROR(INDEX(LIST!$G$2:$G$131,MATCH(B6,LIST!$B$2:$B$131,0)),0)</f>
        <v>0.035</v>
      </c>
      <c r="F6" s="20" t="n">
        <f aca="false">C6*E6</f>
        <v>0.07</v>
      </c>
    </row>
    <row r="7" customFormat="false" ht="15" hidden="false" customHeight="false" outlineLevel="0" collapsed="false">
      <c r="A7" s="2" t="n">
        <v>3</v>
      </c>
      <c r="B7" s="2" t="s">
        <v>167</v>
      </c>
      <c r="C7" s="17" t="n">
        <v>10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0.00217647058823529</v>
      </c>
      <c r="F7" s="20" t="n">
        <f aca="false">C7*E7</f>
        <v>0.0217647058823529</v>
      </c>
    </row>
    <row r="8" customFormat="false" ht="15" hidden="false" customHeight="false" outlineLevel="0" collapsed="false">
      <c r="A8" s="2" t="n">
        <v>4</v>
      </c>
      <c r="B8" s="2" t="s">
        <v>76</v>
      </c>
      <c r="C8" s="17" t="n">
        <v>60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0.00045</v>
      </c>
      <c r="F8" s="20" t="n">
        <f aca="false">C8*E8</f>
        <v>0.027</v>
      </c>
    </row>
    <row r="9" customFormat="false" ht="15" hidden="false" customHeight="false" outlineLevel="0" collapsed="false">
      <c r="A9" s="2" t="n">
        <v>5</v>
      </c>
      <c r="B9" s="2" t="s">
        <v>74</v>
      </c>
      <c r="C9" s="17" t="n">
        <v>7.5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0.0011</v>
      </c>
      <c r="F9" s="20" t="n">
        <f aca="false">C9*E9</f>
        <v>0.00825</v>
      </c>
    </row>
    <row r="10" customFormat="false" ht="15" hidden="false" customHeight="false" outlineLevel="0" collapsed="false">
      <c r="A10" s="2" t="n">
        <v>6</v>
      </c>
      <c r="B10" s="2" t="s">
        <v>81</v>
      </c>
      <c r="C10" s="17" t="n">
        <v>80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0.0005</v>
      </c>
      <c r="F10" s="20" t="n">
        <f aca="false">C10*E10</f>
        <v>0.04</v>
      </c>
    </row>
    <row r="11" customFormat="false" ht="15" hidden="false" customHeight="false" outlineLevel="0" collapsed="false">
      <c r="A11" s="2" t="n">
        <v>7</v>
      </c>
      <c r="B11" s="2" t="s">
        <v>79</v>
      </c>
      <c r="C11" s="17" t="n">
        <v>7.5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0.00036</v>
      </c>
      <c r="F11" s="20" t="n">
        <f aca="false">C11*E11</f>
        <v>0.0027</v>
      </c>
    </row>
    <row r="12" customFormat="false" ht="15" hidden="false" customHeight="false" outlineLevel="0" collapsed="false">
      <c r="A12" s="2" t="n">
        <v>8</v>
      </c>
      <c r="B12" s="2" t="s">
        <v>68</v>
      </c>
      <c r="C12" s="17" t="n">
        <v>15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0.00065</v>
      </c>
      <c r="F12" s="20" t="n">
        <f aca="false">C12*E12</f>
        <v>0.00975</v>
      </c>
    </row>
    <row r="13" customFormat="false" ht="15" hidden="false" customHeight="false" outlineLevel="0" collapsed="false">
      <c r="A13" s="2" t="n">
        <v>9</v>
      </c>
      <c r="B13" s="2" t="s">
        <v>150</v>
      </c>
      <c r="C13" s="17" t="n">
        <v>30</v>
      </c>
      <c r="D13" s="2" t="str">
        <f aca="false">IFERROR(INDEX(LIST!$F$2:$F$131,MATCH(B13,LIST!$B$2:$B$131,0)),"")</f>
        <v>ml</v>
      </c>
      <c r="E13" s="18" t="n">
        <f aca="false">IFERROR(INDEX(LIST!$G$2:$G$131,MATCH(B13,LIST!$B$2:$B$131,0)),0)</f>
        <v>0.000594</v>
      </c>
      <c r="F13" s="20" t="n">
        <f aca="false">C13*E13</f>
        <v>0.01782</v>
      </c>
    </row>
    <row r="14" customFormat="false" ht="15" hidden="false" customHeight="false" outlineLevel="0" collapsed="false">
      <c r="A14" s="2" t="n">
        <v>10</v>
      </c>
      <c r="B14" s="2" t="s">
        <v>164</v>
      </c>
      <c r="C14" s="17" t="n">
        <v>10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0.0006</v>
      </c>
      <c r="F14" s="20" t="n">
        <f aca="false">C14*E14</f>
        <v>0.006</v>
      </c>
    </row>
    <row r="15" customFormat="false" ht="15" hidden="false" customHeight="false" outlineLevel="0" collapsed="false">
      <c r="A15" s="2" t="n">
        <v>11</v>
      </c>
      <c r="B15" s="2" t="s">
        <v>115</v>
      </c>
      <c r="C15" s="17" t="n">
        <v>2.5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0.000165</v>
      </c>
      <c r="F15" s="20" t="n">
        <f aca="false">C15*E15</f>
        <v>0.0004125</v>
      </c>
    </row>
    <row r="16" customFormat="false" ht="15" hidden="false" customHeight="false" outlineLevel="0" collapsed="false">
      <c r="A16" s="2" t="n">
        <v>12</v>
      </c>
      <c r="B16" s="2" t="s">
        <v>151</v>
      </c>
      <c r="C16" s="17" t="n">
        <v>7.5</v>
      </c>
      <c r="D16" s="2" t="str">
        <f aca="false">IFERROR(INDEX(LIST!$F$2:$F$131,MATCH(B16,LIST!$B$2:$B$131,0)),"")</f>
        <v>ml</v>
      </c>
      <c r="E16" s="18" t="n">
        <f aca="false">IFERROR(INDEX(LIST!$G$2:$G$131,MATCH(B16,LIST!$B$2:$B$131,0)),0)</f>
        <v>0.000308</v>
      </c>
      <c r="F16" s="20" t="n">
        <f aca="false">C16*E16</f>
        <v>0.00231</v>
      </c>
    </row>
    <row r="17" customFormat="false" ht="15" hidden="false" customHeight="false" outlineLevel="0" collapsed="false">
      <c r="A17" s="2" t="n">
        <v>13</v>
      </c>
      <c r="B17" s="2" t="s">
        <v>161</v>
      </c>
      <c r="C17" s="17" t="n">
        <v>15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0.0009696</v>
      </c>
      <c r="F17" s="20" t="n">
        <f aca="false">C17*E17</f>
        <v>0.014544</v>
      </c>
    </row>
    <row r="18" customFormat="false" ht="15" hidden="false" customHeight="false" outlineLevel="0" collapsed="false">
      <c r="A18" s="2" t="n">
        <v>14</v>
      </c>
      <c r="B18" s="2" t="s">
        <v>102</v>
      </c>
      <c r="C18" s="17" t="n">
        <v>1.25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0.002818</v>
      </c>
      <c r="F18" s="20" t="n">
        <f aca="false">C18*E18</f>
        <v>0.0035225</v>
      </c>
    </row>
    <row r="19" customFormat="false" ht="15" hidden="false" customHeight="false" outlineLevel="0" collapsed="false">
      <c r="A19" s="2" t="n">
        <v>15</v>
      </c>
      <c r="B19" s="2" t="s">
        <v>118</v>
      </c>
      <c r="C19" s="17" t="n">
        <v>1.25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0.004</v>
      </c>
      <c r="F19" s="20" t="n">
        <f aca="false">C19*E19</f>
        <v>0.005</v>
      </c>
    </row>
    <row r="20" customFormat="false" ht="15" hidden="false" customHeight="false" outlineLevel="0" collapsed="false">
      <c r="A20" s="2" t="n">
        <v>16</v>
      </c>
      <c r="B20" s="2" t="s">
        <v>100</v>
      </c>
      <c r="C20" s="17" t="n">
        <v>1.25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0.00165</v>
      </c>
      <c r="F20" s="20" t="n">
        <f aca="false">C20*E20</f>
        <v>0.0020625</v>
      </c>
    </row>
    <row r="21" customFormat="false" ht="15" hidden="false" customHeight="false" outlineLevel="0" collapsed="false">
      <c r="A21" s="2" t="n">
        <v>17</v>
      </c>
      <c r="B21" s="2" t="s">
        <v>108</v>
      </c>
      <c r="C21" s="17" t="n">
        <v>1.25</v>
      </c>
      <c r="D21" s="2" t="str">
        <f aca="false">IFERROR(INDEX(LIST!$F$2:$F$131,MATCH(B21,LIST!$B$2:$B$131,0)),"")</f>
        <v>g</v>
      </c>
      <c r="E21" s="18" t="n">
        <f aca="false">IFERROR(INDEX(LIST!$G$2:$G$131,MATCH(B21,LIST!$B$2:$B$131,0)),0)</f>
        <v>0.00165</v>
      </c>
      <c r="F21" s="20" t="n">
        <f aca="false">C21*E21</f>
        <v>0.0020625</v>
      </c>
    </row>
    <row r="22" customFormat="false" ht="15" hidden="false" customHeight="false" outlineLevel="0" collapsed="false">
      <c r="A22" s="2"/>
      <c r="B22" s="4" t="s">
        <v>191</v>
      </c>
      <c r="C22" s="2"/>
      <c r="D22" s="2"/>
      <c r="E22" s="2"/>
      <c r="F22" s="21" t="n">
        <f aca="false">SUM(F5:F21)</f>
        <v>0.379698705882353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2"/>
      <c r="B24" s="4" t="s">
        <v>192</v>
      </c>
      <c r="C24" s="22" t="s">
        <v>5</v>
      </c>
      <c r="D24" s="23" t="s">
        <v>6</v>
      </c>
      <c r="E24" s="24" t="s">
        <v>7</v>
      </c>
      <c r="F24" s="2"/>
    </row>
    <row r="25" customFormat="false" ht="15" hidden="false" customHeight="false" outlineLevel="0" collapsed="false">
      <c r="A25" s="2"/>
      <c r="B25" s="25" t="s">
        <v>193</v>
      </c>
      <c r="C25" s="26" t="n">
        <v>1</v>
      </c>
      <c r="D25" s="27" t="n">
        <v>2</v>
      </c>
      <c r="E25" s="28" t="n">
        <v>4</v>
      </c>
      <c r="F25" s="2"/>
    </row>
    <row r="26" customFormat="false" ht="15" hidden="false" customHeight="false" outlineLevel="0" collapsed="false">
      <c r="A26" s="2"/>
      <c r="B26" s="25" t="s">
        <v>194</v>
      </c>
      <c r="C26" s="29" t="n">
        <f aca="false">$F$22*C25</f>
        <v>0.379698705882353</v>
      </c>
      <c r="D26" s="30" t="n">
        <f aca="false">$F$22*D25</f>
        <v>0.759397411764706</v>
      </c>
      <c r="E26" s="31" t="n">
        <f aca="false">$F$22*E25</f>
        <v>1.51879482352941</v>
      </c>
      <c r="F26" s="2"/>
    </row>
    <row r="27" customFormat="false" ht="15" hidden="false" customHeight="false" outlineLevel="0" collapsed="false">
      <c r="A27" s="2"/>
      <c r="B27" s="25" t="s">
        <v>195</v>
      </c>
      <c r="C27" s="32" t="s">
        <v>176</v>
      </c>
      <c r="D27" s="33" t="s">
        <v>177</v>
      </c>
      <c r="E27" s="34" t="s">
        <v>178</v>
      </c>
      <c r="F27" s="2"/>
    </row>
    <row r="28" customFormat="false" ht="15" hidden="false" customHeight="false" outlineLevel="0" collapsed="false">
      <c r="A28" s="2"/>
      <c r="B28" s="25" t="s">
        <v>196</v>
      </c>
      <c r="C28" s="29" t="n">
        <f aca="false">IFERROR(INDEX(LIST!$G$2:$G$131,MATCH(C27,LIST!$B$2:$B$131,0)),0)</f>
        <v>0.021</v>
      </c>
      <c r="D28" s="30" t="n">
        <f aca="false">IFERROR(INDEX(LIST!$G$2:$G$131,MATCH(D27,LIST!$B$2:$B$131,0)),0)</f>
        <v>0.0315</v>
      </c>
      <c r="E28" s="31" t="n">
        <f aca="false">IFERROR(INDEX(LIST!$G$2:$G$131,MATCH(E27,LIST!$B$2:$B$131,0)),0)</f>
        <v>0.116666666666667</v>
      </c>
      <c r="F28" s="2"/>
    </row>
    <row r="29" customFormat="false" ht="15" hidden="false" customHeight="false" outlineLevel="0" collapsed="false">
      <c r="A29" s="2"/>
      <c r="B29" s="25" t="s">
        <v>197</v>
      </c>
      <c r="C29" s="26" t="n">
        <v>1</v>
      </c>
      <c r="D29" s="27" t="n">
        <v>2</v>
      </c>
      <c r="E29" s="28" t="n">
        <v>3</v>
      </c>
      <c r="F29" s="2"/>
    </row>
    <row r="30" customFormat="false" ht="15" hidden="false" customHeight="false" outlineLevel="0" collapsed="false">
      <c r="A30" s="2"/>
      <c r="B30" s="25" t="s">
        <v>198</v>
      </c>
      <c r="C30" s="29" t="n">
        <f aca="false">C29*IFERROR(INDEX(LIST!$G$2:$G$131,MATCH("SPOON",LIST!$B$2:$B$131,0)),0)</f>
        <v>0.0064</v>
      </c>
      <c r="D30" s="30" t="n">
        <f aca="false">D29*IFERROR(INDEX(LIST!$G$2:$G$131,MATCH("SPOON",LIST!$B$2:$B$131,0)),0)</f>
        <v>0.0128</v>
      </c>
      <c r="E30" s="31" t="n">
        <f aca="false">E29*IFERROR(INDEX(LIST!$G$2:$G$131,MATCH("SPOON",LIST!$B$2:$B$131,0)),0)</f>
        <v>0.0192</v>
      </c>
      <c r="F30" s="2"/>
    </row>
    <row r="31" customFormat="false" ht="15" hidden="false" customHeight="false" outlineLevel="0" collapsed="false">
      <c r="A31" s="2"/>
      <c r="B31" s="25" t="s">
        <v>199</v>
      </c>
      <c r="C31" s="26" t="n">
        <v>1</v>
      </c>
      <c r="D31" s="27" t="n">
        <v>2</v>
      </c>
      <c r="E31" s="28" t="n">
        <v>4</v>
      </c>
      <c r="F31" s="2"/>
    </row>
    <row r="32" customFormat="false" ht="15" hidden="false" customHeight="false" outlineLevel="0" collapsed="false">
      <c r="A32" s="2"/>
      <c r="B32" s="25" t="s">
        <v>200</v>
      </c>
      <c r="C32" s="29" t="n">
        <f aca="false">C31*IFERROR(INDEX(LIST!$G$2:$G$131,MATCH("Bread",LIST!$B$2:$B$131,0)),0)</f>
        <v>0.012</v>
      </c>
      <c r="D32" s="30" t="n">
        <f aca="false">D31*IFERROR(INDEX(LIST!$G$2:$G$131,MATCH("Bread",LIST!$B$2:$B$131,0)),0)</f>
        <v>0.024</v>
      </c>
      <c r="E32" s="31" t="n">
        <f aca="false">E31*IFERROR(INDEX(LIST!$G$2:$G$131,MATCH("Bread",LIST!$B$2:$B$131,0)),0)</f>
        <v>0.048</v>
      </c>
      <c r="F32" s="2"/>
    </row>
    <row r="33" customFormat="false" ht="15" hidden="false" customHeight="false" outlineLevel="0" collapsed="false">
      <c r="A33" s="2"/>
      <c r="B33" s="25" t="s">
        <v>201</v>
      </c>
      <c r="C33" s="32" t="s">
        <v>183</v>
      </c>
      <c r="D33" s="33" t="s">
        <v>184</v>
      </c>
      <c r="E33" s="34" t="s">
        <v>185</v>
      </c>
      <c r="F33" s="2"/>
    </row>
    <row r="34" customFormat="false" ht="15" hidden="false" customHeight="false" outlineLevel="0" collapsed="false">
      <c r="A34" s="2"/>
      <c r="B34" s="25" t="s">
        <v>202</v>
      </c>
      <c r="C34" s="29" t="n">
        <f aca="false">IFERROR(INDEX(LIST!$G$2:$G$131,MATCH(C33,LIST!$B$2:$B$131,0)),0)</f>
        <v>0.02</v>
      </c>
      <c r="D34" s="30" t="n">
        <f aca="false">IFERROR(INDEX(LIST!$G$2:$G$131,MATCH(D33,LIST!$B$2:$B$131,0)),0)</f>
        <v>0.03</v>
      </c>
      <c r="E34" s="31" t="n">
        <f aca="false">IFERROR(INDEX(LIST!$G$2:$G$131,MATCH(E33,LIST!$B$2:$B$131,0)),0)</f>
        <v>0.04</v>
      </c>
      <c r="F34" s="2"/>
    </row>
    <row r="35" customFormat="false" ht="15" hidden="false" customHeight="false" outlineLevel="0" collapsed="false">
      <c r="A35" s="2"/>
      <c r="B35" s="25" t="s">
        <v>203</v>
      </c>
      <c r="C35" s="35" t="n">
        <v>0</v>
      </c>
      <c r="D35" s="36" t="n">
        <v>0</v>
      </c>
      <c r="E35" s="37" t="n">
        <v>0</v>
      </c>
      <c r="F35" s="2"/>
    </row>
    <row r="36" customFormat="false" ht="15" hidden="false" customHeight="false" outlineLevel="0" collapsed="false">
      <c r="A36" s="2"/>
      <c r="B36" s="25" t="s">
        <v>204</v>
      </c>
      <c r="C36" s="29" t="n">
        <f aca="false">C28+C30+C32+C34+C35</f>
        <v>0.0594</v>
      </c>
      <c r="D36" s="30" t="n">
        <f aca="false">D28+D30+D32+D34+D35</f>
        <v>0.0983</v>
      </c>
      <c r="E36" s="31" t="n">
        <f aca="false">E28+E30+E32+E34+E35</f>
        <v>0.223866666666667</v>
      </c>
      <c r="F36" s="2"/>
    </row>
    <row r="37" customFormat="false" ht="15" hidden="false" customHeight="false" outlineLevel="0" collapsed="false">
      <c r="A37" s="2"/>
      <c r="B37" s="4" t="s">
        <v>205</v>
      </c>
      <c r="C37" s="38" t="n">
        <f aca="false">C26+C36</f>
        <v>0.439098705882353</v>
      </c>
      <c r="D37" s="39" t="n">
        <f aca="false">D26+D36</f>
        <v>0.857697411764706</v>
      </c>
      <c r="E37" s="40" t="n">
        <f aca="false">E26+E36</f>
        <v>1.74266149019608</v>
      </c>
      <c r="F37" s="2"/>
    </row>
    <row r="38" customFormat="false" ht="15" hidden="false" customHeight="false" outlineLevel="0" collapsed="false">
      <c r="A38" s="2"/>
      <c r="B38" s="25" t="s">
        <v>9</v>
      </c>
      <c r="C38" s="35" t="n">
        <v>1.6</v>
      </c>
      <c r="D38" s="36" t="n">
        <v>3</v>
      </c>
      <c r="E38" s="37" t="n">
        <v>5.6</v>
      </c>
      <c r="F38" s="2"/>
    </row>
    <row r="39" customFormat="false" ht="15" hidden="false" customHeight="false" outlineLevel="0" collapsed="false">
      <c r="A39" s="2"/>
      <c r="B39" s="4" t="s">
        <v>206</v>
      </c>
      <c r="C39" s="41" t="n">
        <f aca="false">IF(C38=0,"",C37/C38)</f>
        <v>0.274436691176471</v>
      </c>
      <c r="D39" s="42" t="n">
        <f aca="false">IF(D38=0,"",D37/D38)</f>
        <v>0.285899137254902</v>
      </c>
      <c r="E39" s="43" t="n">
        <f aca="false">IF(E38=0,"",E37/E38)</f>
        <v>0.311189551820728</v>
      </c>
      <c r="F39" s="2"/>
    </row>
    <row r="40" customFormat="false" ht="15" hidden="false" customHeight="false" outlineLevel="0" collapsed="false">
      <c r="A40" s="2"/>
      <c r="B40" s="25" t="s">
        <v>11</v>
      </c>
      <c r="C40" s="35" t="n">
        <v>2</v>
      </c>
      <c r="D40" s="36" t="n">
        <v>3.6</v>
      </c>
      <c r="E40" s="37" t="n">
        <v>6.8</v>
      </c>
      <c r="F40" s="2"/>
    </row>
    <row r="41" customFormat="false" ht="15" hidden="false" customHeight="false" outlineLevel="0" collapsed="false">
      <c r="A41" s="2"/>
      <c r="B41" s="4" t="s">
        <v>207</v>
      </c>
      <c r="C41" s="41" t="n">
        <f aca="false">IF(N(C40)=0,"",C37/C40)</f>
        <v>0.219549352941176</v>
      </c>
      <c r="D41" s="42" t="n">
        <f aca="false">IF(N(D40)=0,"",D37/D40)</f>
        <v>0.238249281045752</v>
      </c>
      <c r="E41" s="43" t="n">
        <f aca="false">IF(N(E40)=0,"",E37/E40)</f>
        <v>0.256273748558247</v>
      </c>
      <c r="F41" s="2"/>
    </row>
    <row r="42" customFormat="false" ht="15" hidden="false" customHeight="false" outlineLevel="0" collapsed="false">
      <c r="A42" s="2"/>
      <c r="B42" s="25" t="s">
        <v>208</v>
      </c>
      <c r="C42" s="29" t="n">
        <f aca="false">C38-C37</f>
        <v>1.16090129411765</v>
      </c>
      <c r="D42" s="30" t="n">
        <f aca="false">D38-D37</f>
        <v>2.14230258823529</v>
      </c>
      <c r="E42" s="31" t="n">
        <f aca="false">E38-E37</f>
        <v>3.85733850980392</v>
      </c>
      <c r="F42" s="2"/>
    </row>
    <row r="43" customFormat="false" ht="15" hidden="false" customHeight="false" outlineLevel="0" collapsed="false">
      <c r="A43" s="2"/>
      <c r="B43" s="25" t="s">
        <v>209</v>
      </c>
      <c r="C43" s="29" t="n">
        <f aca="false">IF(N(C40)=0,"",C40-C37)</f>
        <v>1.56090129411765</v>
      </c>
      <c r="D43" s="30" t="n">
        <f aca="false">IF(N(D40)=0,"",D40-D37)</f>
        <v>2.74230258823529</v>
      </c>
      <c r="E43" s="31" t="n">
        <f aca="false">IF(N(E40)=0,"",E40-E37)</f>
        <v>5.05733850980392</v>
      </c>
      <c r="F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17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132</v>
      </c>
      <c r="C5" s="17" t="n">
        <v>2</v>
      </c>
      <c r="D5" s="2" t="str">
        <f aca="false">IFERROR(INDEX(LIST!$F$2:$F$131,MATCH(B5,LIST!$B$2:$B$131,0)),"")</f>
        <v>pc</v>
      </c>
      <c r="E5" s="18" t="n">
        <f aca="false">IFERROR(INDEX(LIST!$G$2:$G$131,MATCH(B5,LIST!$B$2:$B$131,0)),0)</f>
        <v>0.035</v>
      </c>
      <c r="F5" s="20" t="n">
        <f aca="false">C5*E5</f>
        <v>0.07</v>
      </c>
    </row>
    <row r="6" customFormat="false" ht="15" hidden="false" customHeight="false" outlineLevel="0" collapsed="false">
      <c r="A6" s="2" t="n">
        <v>2</v>
      </c>
      <c r="B6" s="2" t="s">
        <v>150</v>
      </c>
      <c r="C6" s="17" t="n">
        <v>30</v>
      </c>
      <c r="D6" s="2" t="str">
        <f aca="false">IFERROR(INDEX(LIST!$F$2:$F$131,MATCH(B6,LIST!$B$2:$B$131,0)),"")</f>
        <v>ml</v>
      </c>
      <c r="E6" s="18" t="n">
        <f aca="false">IFERROR(INDEX(LIST!$G$2:$G$131,MATCH(B6,LIST!$B$2:$B$131,0)),0)</f>
        <v>0.000594</v>
      </c>
      <c r="F6" s="20" t="n">
        <f aca="false">C6*E6</f>
        <v>0.01782</v>
      </c>
    </row>
    <row r="7" customFormat="false" ht="15" hidden="false" customHeight="false" outlineLevel="0" collapsed="false">
      <c r="A7" s="2" t="n">
        <v>3</v>
      </c>
      <c r="B7" s="2" t="s">
        <v>164</v>
      </c>
      <c r="C7" s="17" t="n">
        <v>10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0.0006</v>
      </c>
      <c r="F7" s="20" t="n">
        <f aca="false">C7*E7</f>
        <v>0.006</v>
      </c>
    </row>
    <row r="8" customFormat="false" ht="15" hidden="false" customHeight="false" outlineLevel="0" collapsed="false">
      <c r="A8" s="2" t="n">
        <v>4</v>
      </c>
      <c r="B8" s="2" t="s">
        <v>76</v>
      </c>
      <c r="C8" s="17" t="n">
        <v>60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0.00045</v>
      </c>
      <c r="F8" s="20" t="n">
        <f aca="false">C8*E8</f>
        <v>0.027</v>
      </c>
    </row>
    <row r="9" customFormat="false" ht="15" hidden="false" customHeight="false" outlineLevel="0" collapsed="false">
      <c r="A9" s="2" t="n">
        <v>5</v>
      </c>
      <c r="B9" s="2" t="s">
        <v>59</v>
      </c>
      <c r="C9" s="17" t="n">
        <v>2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0.00172727272727273</v>
      </c>
      <c r="F9" s="20" t="n">
        <f aca="false">C9*E9</f>
        <v>0.00345454545454545</v>
      </c>
    </row>
    <row r="10" customFormat="false" ht="15" hidden="false" customHeight="false" outlineLevel="0" collapsed="false">
      <c r="A10" s="2" t="n">
        <v>6</v>
      </c>
      <c r="B10" s="2" t="s">
        <v>81</v>
      </c>
      <c r="C10" s="17" t="n">
        <v>120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0.0005</v>
      </c>
      <c r="F10" s="20" t="n">
        <f aca="false">C10*E10</f>
        <v>0.06</v>
      </c>
    </row>
    <row r="11" customFormat="false" ht="15" hidden="false" customHeight="false" outlineLevel="0" collapsed="false">
      <c r="A11" s="2" t="n">
        <v>7</v>
      </c>
      <c r="B11" s="2" t="s">
        <v>117</v>
      </c>
      <c r="C11" s="17" t="n">
        <v>1.25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0.0018</v>
      </c>
      <c r="F11" s="20" t="n">
        <f aca="false">C11*E11</f>
        <v>0.00225</v>
      </c>
    </row>
    <row r="12" customFormat="false" ht="15" hidden="false" customHeight="false" outlineLevel="0" collapsed="false">
      <c r="A12" s="2" t="n">
        <v>8</v>
      </c>
      <c r="B12" s="2" t="s">
        <v>102</v>
      </c>
      <c r="C12" s="17" t="n">
        <v>1.25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0.002818</v>
      </c>
      <c r="F12" s="20" t="n">
        <f aca="false">C12*E12</f>
        <v>0.0035225</v>
      </c>
    </row>
    <row r="13" customFormat="false" ht="15" hidden="false" customHeight="false" outlineLevel="0" collapsed="false">
      <c r="A13" s="2" t="n">
        <v>9</v>
      </c>
      <c r="B13" s="2" t="s">
        <v>118</v>
      </c>
      <c r="C13" s="17" t="n">
        <v>1.25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0.004</v>
      </c>
      <c r="F13" s="20" t="n">
        <f aca="false">C13*E13</f>
        <v>0.005</v>
      </c>
    </row>
    <row r="14" customFormat="false" ht="15" hidden="false" customHeight="false" outlineLevel="0" collapsed="false">
      <c r="A14" s="2" t="n">
        <v>10</v>
      </c>
      <c r="B14" s="2" t="s">
        <v>100</v>
      </c>
      <c r="C14" s="17" t="n">
        <v>1.25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0.00165</v>
      </c>
      <c r="F14" s="20" t="n">
        <f aca="false">C14*E14</f>
        <v>0.0020625</v>
      </c>
    </row>
    <row r="15" customFormat="false" ht="15" hidden="false" customHeight="false" outlineLevel="0" collapsed="false">
      <c r="A15" s="2" t="n">
        <v>11</v>
      </c>
      <c r="B15" s="2" t="s">
        <v>115</v>
      </c>
      <c r="C15" s="17" t="n">
        <v>1.25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0.000165</v>
      </c>
      <c r="F15" s="20" t="n">
        <f aca="false">C15*E15</f>
        <v>0.00020625</v>
      </c>
    </row>
    <row r="16" customFormat="false" ht="15" hidden="false" customHeight="false" outlineLevel="0" collapsed="false">
      <c r="A16" s="2"/>
      <c r="B16" s="4" t="s">
        <v>191</v>
      </c>
      <c r="C16" s="2"/>
      <c r="D16" s="2"/>
      <c r="E16" s="2"/>
      <c r="F16" s="21" t="n">
        <f aca="false">SUM(F5:F15)</f>
        <v>0.197315795454545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2"/>
      <c r="B18" s="4" t="s">
        <v>192</v>
      </c>
      <c r="C18" s="22" t="s">
        <v>5</v>
      </c>
      <c r="D18" s="23" t="s">
        <v>6</v>
      </c>
      <c r="E18" s="24" t="s">
        <v>7</v>
      </c>
      <c r="F18" s="2"/>
    </row>
    <row r="19" customFormat="false" ht="15" hidden="false" customHeight="false" outlineLevel="0" collapsed="false">
      <c r="A19" s="2"/>
      <c r="B19" s="25" t="s">
        <v>193</v>
      </c>
      <c r="C19" s="26" t="n">
        <v>1</v>
      </c>
      <c r="D19" s="27" t="n">
        <v>2</v>
      </c>
      <c r="E19" s="28" t="n">
        <v>4</v>
      </c>
      <c r="F19" s="2"/>
    </row>
    <row r="20" customFormat="false" ht="15" hidden="false" customHeight="false" outlineLevel="0" collapsed="false">
      <c r="A20" s="2"/>
      <c r="B20" s="25" t="s">
        <v>194</v>
      </c>
      <c r="C20" s="29" t="n">
        <f aca="false">$F$16*C19</f>
        <v>0.197315795454545</v>
      </c>
      <c r="D20" s="30" t="n">
        <f aca="false">$F$16*D19</f>
        <v>0.394631590909091</v>
      </c>
      <c r="E20" s="31" t="n">
        <f aca="false">$F$16*E19</f>
        <v>0.789263181818182</v>
      </c>
      <c r="F20" s="2"/>
    </row>
    <row r="21" customFormat="false" ht="15" hidden="false" customHeight="false" outlineLevel="0" collapsed="false">
      <c r="A21" s="2"/>
      <c r="B21" s="25" t="s">
        <v>195</v>
      </c>
      <c r="C21" s="32" t="s">
        <v>176</v>
      </c>
      <c r="D21" s="33" t="s">
        <v>177</v>
      </c>
      <c r="E21" s="34" t="s">
        <v>178</v>
      </c>
      <c r="F21" s="2"/>
    </row>
    <row r="22" customFormat="false" ht="15" hidden="false" customHeight="false" outlineLevel="0" collapsed="false">
      <c r="A22" s="2"/>
      <c r="B22" s="25" t="s">
        <v>196</v>
      </c>
      <c r="C22" s="29" t="n">
        <f aca="false">IFERROR(INDEX(LIST!$G$2:$G$131,MATCH(C21,LIST!$B$2:$B$131,0)),0)</f>
        <v>0.021</v>
      </c>
      <c r="D22" s="30" t="n">
        <f aca="false">IFERROR(INDEX(LIST!$G$2:$G$131,MATCH(D21,LIST!$B$2:$B$131,0)),0)</f>
        <v>0.0315</v>
      </c>
      <c r="E22" s="31" t="n">
        <f aca="false">IFERROR(INDEX(LIST!$G$2:$G$131,MATCH(E21,LIST!$B$2:$B$131,0)),0)</f>
        <v>0.116666666666667</v>
      </c>
      <c r="F22" s="2"/>
    </row>
    <row r="23" customFormat="false" ht="15" hidden="false" customHeight="false" outlineLevel="0" collapsed="false">
      <c r="A23" s="2"/>
      <c r="B23" s="25" t="s">
        <v>197</v>
      </c>
      <c r="C23" s="26" t="n">
        <v>1</v>
      </c>
      <c r="D23" s="27" t="n">
        <v>2</v>
      </c>
      <c r="E23" s="28" t="n">
        <v>3</v>
      </c>
      <c r="F23" s="2"/>
    </row>
    <row r="24" customFormat="false" ht="15" hidden="false" customHeight="false" outlineLevel="0" collapsed="false">
      <c r="A24" s="2"/>
      <c r="B24" s="25" t="s">
        <v>198</v>
      </c>
      <c r="C24" s="29" t="n">
        <f aca="false">C23*IFERROR(INDEX(LIST!$G$2:$G$131,MATCH("SPOON",LIST!$B$2:$B$131,0)),0)</f>
        <v>0.0064</v>
      </c>
      <c r="D24" s="30" t="n">
        <f aca="false">D23*IFERROR(INDEX(LIST!$G$2:$G$131,MATCH("SPOON",LIST!$B$2:$B$131,0)),0)</f>
        <v>0.0128</v>
      </c>
      <c r="E24" s="31" t="n">
        <f aca="false">E23*IFERROR(INDEX(LIST!$G$2:$G$131,MATCH("SPOON",LIST!$B$2:$B$131,0)),0)</f>
        <v>0.0192</v>
      </c>
      <c r="F24" s="2"/>
    </row>
    <row r="25" customFormat="false" ht="15" hidden="false" customHeight="false" outlineLevel="0" collapsed="false">
      <c r="A25" s="2"/>
      <c r="B25" s="25" t="s">
        <v>199</v>
      </c>
      <c r="C25" s="26" t="n">
        <v>1</v>
      </c>
      <c r="D25" s="27" t="n">
        <v>2</v>
      </c>
      <c r="E25" s="28" t="n">
        <v>4</v>
      </c>
      <c r="F25" s="2"/>
    </row>
    <row r="26" customFormat="false" ht="15" hidden="false" customHeight="false" outlineLevel="0" collapsed="false">
      <c r="A26" s="2"/>
      <c r="B26" s="25" t="s">
        <v>200</v>
      </c>
      <c r="C26" s="29" t="n">
        <f aca="false">C25*IFERROR(INDEX(LIST!$G$2:$G$131,MATCH("Bread",LIST!$B$2:$B$131,0)),0)</f>
        <v>0.012</v>
      </c>
      <c r="D26" s="30" t="n">
        <f aca="false">D25*IFERROR(INDEX(LIST!$G$2:$G$131,MATCH("Bread",LIST!$B$2:$B$131,0)),0)</f>
        <v>0.024</v>
      </c>
      <c r="E26" s="31" t="n">
        <f aca="false">E25*IFERROR(INDEX(LIST!$G$2:$G$131,MATCH("Bread",LIST!$B$2:$B$131,0)),0)</f>
        <v>0.048</v>
      </c>
      <c r="F26" s="2"/>
    </row>
    <row r="27" customFormat="false" ht="15" hidden="false" customHeight="false" outlineLevel="0" collapsed="false">
      <c r="A27" s="2"/>
      <c r="B27" s="25" t="s">
        <v>201</v>
      </c>
      <c r="C27" s="32" t="s">
        <v>183</v>
      </c>
      <c r="D27" s="33" t="s">
        <v>184</v>
      </c>
      <c r="E27" s="34" t="s">
        <v>185</v>
      </c>
      <c r="F27" s="2"/>
    </row>
    <row r="28" customFormat="false" ht="15" hidden="false" customHeight="false" outlineLevel="0" collapsed="false">
      <c r="A28" s="2"/>
      <c r="B28" s="25" t="s">
        <v>202</v>
      </c>
      <c r="C28" s="29" t="n">
        <f aca="false">IFERROR(INDEX(LIST!$G$2:$G$131,MATCH(C27,LIST!$B$2:$B$131,0)),0)</f>
        <v>0.02</v>
      </c>
      <c r="D28" s="30" t="n">
        <f aca="false">IFERROR(INDEX(LIST!$G$2:$G$131,MATCH(D27,LIST!$B$2:$B$131,0)),0)</f>
        <v>0.03</v>
      </c>
      <c r="E28" s="31" t="n">
        <f aca="false">IFERROR(INDEX(LIST!$G$2:$G$131,MATCH(E27,LIST!$B$2:$B$131,0)),0)</f>
        <v>0.04</v>
      </c>
      <c r="F28" s="2"/>
    </row>
    <row r="29" customFormat="false" ht="15" hidden="false" customHeight="false" outlineLevel="0" collapsed="false">
      <c r="A29" s="2"/>
      <c r="B29" s="25" t="s">
        <v>203</v>
      </c>
      <c r="C29" s="35" t="n">
        <v>0</v>
      </c>
      <c r="D29" s="36" t="n">
        <v>0</v>
      </c>
      <c r="E29" s="37" t="n">
        <v>0</v>
      </c>
      <c r="F29" s="2"/>
    </row>
    <row r="30" customFormat="false" ht="15" hidden="false" customHeight="false" outlineLevel="0" collapsed="false">
      <c r="A30" s="2"/>
      <c r="B30" s="25" t="s">
        <v>204</v>
      </c>
      <c r="C30" s="29" t="n">
        <f aca="false">C22+C24+C26+C28+C29</f>
        <v>0.0594</v>
      </c>
      <c r="D30" s="30" t="n">
        <f aca="false">D22+D24+D26+D28+D29</f>
        <v>0.0983</v>
      </c>
      <c r="E30" s="31" t="n">
        <f aca="false">E22+E24+E26+E28+E29</f>
        <v>0.223866666666667</v>
      </c>
      <c r="F30" s="2"/>
    </row>
    <row r="31" customFormat="false" ht="15" hidden="false" customHeight="false" outlineLevel="0" collapsed="false">
      <c r="A31" s="2"/>
      <c r="B31" s="4" t="s">
        <v>205</v>
      </c>
      <c r="C31" s="38" t="n">
        <f aca="false">C20+C30</f>
        <v>0.256715795454545</v>
      </c>
      <c r="D31" s="39" t="n">
        <f aca="false">D20+D30</f>
        <v>0.492931590909091</v>
      </c>
      <c r="E31" s="40" t="n">
        <f aca="false">E20+E30</f>
        <v>1.01312984848485</v>
      </c>
      <c r="F31" s="2"/>
    </row>
    <row r="32" customFormat="false" ht="15" hidden="false" customHeight="false" outlineLevel="0" collapsed="false">
      <c r="A32" s="2"/>
      <c r="B32" s="25" t="s">
        <v>9</v>
      </c>
      <c r="C32" s="35" t="n">
        <v>1.2</v>
      </c>
      <c r="D32" s="36" t="n">
        <v>2.2</v>
      </c>
      <c r="E32" s="37" t="n">
        <v>4.2</v>
      </c>
      <c r="F32" s="2"/>
    </row>
    <row r="33" customFormat="false" ht="15" hidden="false" customHeight="false" outlineLevel="0" collapsed="false">
      <c r="A33" s="2"/>
      <c r="B33" s="4" t="s">
        <v>206</v>
      </c>
      <c r="C33" s="41" t="n">
        <f aca="false">IF(C32=0,"",C31/C32)</f>
        <v>0.213929829545455</v>
      </c>
      <c r="D33" s="42" t="n">
        <f aca="false">IF(D32=0,"",D31/D32)</f>
        <v>0.224059814049587</v>
      </c>
      <c r="E33" s="43" t="n">
        <f aca="false">IF(E32=0,"",E31/E32)</f>
        <v>0.241221392496393</v>
      </c>
      <c r="F33" s="2"/>
    </row>
    <row r="34" customFormat="false" ht="15" hidden="false" customHeight="false" outlineLevel="0" collapsed="false">
      <c r="A34" s="2"/>
      <c r="B34" s="25" t="s">
        <v>11</v>
      </c>
      <c r="C34" s="35" t="n">
        <v>1.6</v>
      </c>
      <c r="D34" s="36" t="n">
        <v>2.8</v>
      </c>
      <c r="E34" s="37" t="n">
        <v>5</v>
      </c>
      <c r="F34" s="2"/>
    </row>
    <row r="35" customFormat="false" ht="15" hidden="false" customHeight="false" outlineLevel="0" collapsed="false">
      <c r="A35" s="2"/>
      <c r="B35" s="4" t="s">
        <v>207</v>
      </c>
      <c r="C35" s="41" t="n">
        <f aca="false">IF(N(C34)=0,"",C31/C34)</f>
        <v>0.160447372159091</v>
      </c>
      <c r="D35" s="42" t="n">
        <f aca="false">IF(N(D34)=0,"",D31/D34)</f>
        <v>0.176046996753247</v>
      </c>
      <c r="E35" s="43" t="n">
        <f aca="false">IF(N(E34)=0,"",E31/E34)</f>
        <v>0.20262596969697</v>
      </c>
      <c r="F35" s="2"/>
    </row>
    <row r="36" customFormat="false" ht="15" hidden="false" customHeight="false" outlineLevel="0" collapsed="false">
      <c r="A36" s="2"/>
      <c r="B36" s="25" t="s">
        <v>208</v>
      </c>
      <c r="C36" s="29" t="n">
        <f aca="false">C32-C31</f>
        <v>0.943284204545455</v>
      </c>
      <c r="D36" s="30" t="n">
        <f aca="false">D32-D31</f>
        <v>1.70706840909091</v>
      </c>
      <c r="E36" s="31" t="n">
        <f aca="false">E32-E31</f>
        <v>3.18687015151515</v>
      </c>
      <c r="F36" s="2"/>
    </row>
    <row r="37" customFormat="false" ht="15" hidden="false" customHeight="false" outlineLevel="0" collapsed="false">
      <c r="A37" s="2"/>
      <c r="B37" s="25" t="s">
        <v>209</v>
      </c>
      <c r="C37" s="29" t="n">
        <f aca="false">IF(N(C34)=0,"",C34-C31)</f>
        <v>1.34328420454545</v>
      </c>
      <c r="D37" s="30" t="n">
        <f aca="false">IF(N(D34)=0,"",D34-D31)</f>
        <v>2.30706840909091</v>
      </c>
      <c r="E37" s="31" t="n">
        <f aca="false">IF(N(E34)=0,"",E34-E31)</f>
        <v>3.98687015151515</v>
      </c>
      <c r="F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18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132</v>
      </c>
      <c r="C5" s="17" t="n">
        <v>2</v>
      </c>
      <c r="D5" s="2" t="str">
        <f aca="false">IFERROR(INDEX(LIST!$F$2:$F$131,MATCH(B5,LIST!$B$2:$B$131,0)),"")</f>
        <v>pc</v>
      </c>
      <c r="E5" s="18" t="n">
        <f aca="false">IFERROR(INDEX(LIST!$G$2:$G$131,MATCH(B5,LIST!$B$2:$B$131,0)),0)</f>
        <v>0.035</v>
      </c>
      <c r="F5" s="20" t="n">
        <f aca="false">C5*E5</f>
        <v>0.07</v>
      </c>
    </row>
    <row r="6" customFormat="false" ht="15" hidden="false" customHeight="false" outlineLevel="0" collapsed="false">
      <c r="A6" s="2" t="n">
        <v>2</v>
      </c>
      <c r="B6" s="2" t="s">
        <v>150</v>
      </c>
      <c r="C6" s="17" t="n">
        <v>15</v>
      </c>
      <c r="D6" s="2" t="str">
        <f aca="false">IFERROR(INDEX(LIST!$F$2:$F$131,MATCH(B6,LIST!$B$2:$B$131,0)),"")</f>
        <v>ml</v>
      </c>
      <c r="E6" s="18" t="n">
        <f aca="false">IFERROR(INDEX(LIST!$G$2:$G$131,MATCH(B6,LIST!$B$2:$B$131,0)),0)</f>
        <v>0.000594</v>
      </c>
      <c r="F6" s="20" t="n">
        <f aca="false">C6*E6</f>
        <v>0.00891</v>
      </c>
    </row>
    <row r="7" customFormat="false" ht="15" hidden="false" customHeight="false" outlineLevel="0" collapsed="false">
      <c r="A7" s="2" t="n">
        <v>3</v>
      </c>
      <c r="B7" s="2" t="s">
        <v>164</v>
      </c>
      <c r="C7" s="17" t="n">
        <v>15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0.0006</v>
      </c>
      <c r="F7" s="20" t="n">
        <f aca="false">C7*E7</f>
        <v>0.009</v>
      </c>
    </row>
    <row r="8" customFormat="false" ht="15" hidden="false" customHeight="false" outlineLevel="0" collapsed="false">
      <c r="A8" s="2" t="n">
        <v>4</v>
      </c>
      <c r="B8" s="2" t="s">
        <v>76</v>
      </c>
      <c r="C8" s="17" t="n">
        <v>60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0.00045</v>
      </c>
      <c r="F8" s="20" t="n">
        <f aca="false">C8*E8</f>
        <v>0.027</v>
      </c>
    </row>
    <row r="9" customFormat="false" ht="15" hidden="false" customHeight="false" outlineLevel="0" collapsed="false">
      <c r="A9" s="2" t="n">
        <v>5</v>
      </c>
      <c r="B9" s="2" t="s">
        <v>79</v>
      </c>
      <c r="C9" s="17" t="n">
        <v>30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0.00036</v>
      </c>
      <c r="F9" s="20" t="n">
        <f aca="false">C9*E9</f>
        <v>0.0108</v>
      </c>
    </row>
    <row r="10" customFormat="false" ht="15" hidden="false" customHeight="false" outlineLevel="0" collapsed="false">
      <c r="A10" s="2" t="n">
        <v>6</v>
      </c>
      <c r="B10" s="2" t="s">
        <v>68</v>
      </c>
      <c r="C10" s="17" t="n">
        <v>15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0.00065</v>
      </c>
      <c r="F10" s="20" t="n">
        <f aca="false">C10*E10</f>
        <v>0.00975</v>
      </c>
    </row>
    <row r="11" customFormat="false" ht="15" hidden="false" customHeight="false" outlineLevel="0" collapsed="false">
      <c r="A11" s="2" t="n">
        <v>7</v>
      </c>
      <c r="B11" s="2" t="s">
        <v>59</v>
      </c>
      <c r="C11" s="17" t="n">
        <v>2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0.00172727272727273</v>
      </c>
      <c r="F11" s="20" t="n">
        <f aca="false">C11*E11</f>
        <v>0.00345454545454545</v>
      </c>
    </row>
    <row r="12" customFormat="false" ht="15" hidden="false" customHeight="false" outlineLevel="0" collapsed="false">
      <c r="A12" s="2" t="n">
        <v>8</v>
      </c>
      <c r="B12" s="2" t="s">
        <v>81</v>
      </c>
      <c r="C12" s="17" t="n">
        <v>120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0.0005</v>
      </c>
      <c r="F12" s="20" t="n">
        <f aca="false">C12*E12</f>
        <v>0.06</v>
      </c>
    </row>
    <row r="13" customFormat="false" ht="15" hidden="false" customHeight="false" outlineLevel="0" collapsed="false">
      <c r="A13" s="2" t="n">
        <v>9</v>
      </c>
      <c r="B13" s="2" t="s">
        <v>108</v>
      </c>
      <c r="C13" s="17" t="n">
        <v>1.2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0.00165</v>
      </c>
      <c r="F13" s="20" t="n">
        <f aca="false">C13*E13</f>
        <v>0.00198</v>
      </c>
    </row>
    <row r="14" customFormat="false" ht="15" hidden="false" customHeight="false" outlineLevel="0" collapsed="false">
      <c r="A14" s="2" t="n">
        <v>10</v>
      </c>
      <c r="B14" s="2" t="s">
        <v>102</v>
      </c>
      <c r="C14" s="17" t="n">
        <v>1.2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0.002818</v>
      </c>
      <c r="F14" s="20" t="n">
        <f aca="false">C14*E14</f>
        <v>0.0033816</v>
      </c>
    </row>
    <row r="15" customFormat="false" ht="15" hidden="false" customHeight="false" outlineLevel="0" collapsed="false">
      <c r="A15" s="2" t="n">
        <v>11</v>
      </c>
      <c r="B15" s="2" t="s">
        <v>118</v>
      </c>
      <c r="C15" s="17" t="n">
        <v>1.2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0.004</v>
      </c>
      <c r="F15" s="20" t="n">
        <f aca="false">C15*E15</f>
        <v>0.0048</v>
      </c>
    </row>
    <row r="16" customFormat="false" ht="15" hidden="false" customHeight="false" outlineLevel="0" collapsed="false">
      <c r="A16" s="2" t="n">
        <v>12</v>
      </c>
      <c r="B16" s="2" t="s">
        <v>117</v>
      </c>
      <c r="C16" s="17" t="n">
        <v>1.2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0.0018</v>
      </c>
      <c r="F16" s="20" t="n">
        <f aca="false">C16*E16</f>
        <v>0.00216</v>
      </c>
    </row>
    <row r="17" customFormat="false" ht="15" hidden="false" customHeight="false" outlineLevel="0" collapsed="false">
      <c r="A17" s="2" t="n">
        <v>13</v>
      </c>
      <c r="B17" s="2" t="s">
        <v>100</v>
      </c>
      <c r="C17" s="17" t="n">
        <v>1.2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0.00165</v>
      </c>
      <c r="F17" s="20" t="n">
        <f aca="false">C17*E17</f>
        <v>0.00198</v>
      </c>
    </row>
    <row r="18" customFormat="false" ht="15" hidden="false" customHeight="false" outlineLevel="0" collapsed="false">
      <c r="A18" s="2" t="n">
        <v>14</v>
      </c>
      <c r="B18" s="2" t="s">
        <v>115</v>
      </c>
      <c r="C18" s="17" t="n">
        <v>2.5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0.000165</v>
      </c>
      <c r="F18" s="20" t="n">
        <f aca="false">C18*E18</f>
        <v>0.0004125</v>
      </c>
    </row>
    <row r="19" customFormat="false" ht="15" hidden="false" customHeight="false" outlineLevel="0" collapsed="false">
      <c r="A19" s="2"/>
      <c r="B19" s="4" t="s">
        <v>191</v>
      </c>
      <c r="C19" s="2"/>
      <c r="D19" s="2"/>
      <c r="E19" s="2"/>
      <c r="F19" s="21" t="n">
        <f aca="false">SUM(F5:F18)</f>
        <v>0.213628645454545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4" t="s">
        <v>192</v>
      </c>
      <c r="C21" s="22" t="s">
        <v>5</v>
      </c>
      <c r="D21" s="23" t="s">
        <v>6</v>
      </c>
      <c r="E21" s="24" t="s">
        <v>7</v>
      </c>
      <c r="F21" s="2"/>
    </row>
    <row r="22" customFormat="false" ht="15" hidden="false" customHeight="false" outlineLevel="0" collapsed="false">
      <c r="A22" s="2"/>
      <c r="B22" s="25" t="s">
        <v>193</v>
      </c>
      <c r="C22" s="26" t="n">
        <v>1</v>
      </c>
      <c r="D22" s="27" t="n">
        <v>2</v>
      </c>
      <c r="E22" s="28" t="n">
        <v>4</v>
      </c>
      <c r="F22" s="2"/>
    </row>
    <row r="23" customFormat="false" ht="15" hidden="false" customHeight="false" outlineLevel="0" collapsed="false">
      <c r="A23" s="2"/>
      <c r="B23" s="25" t="s">
        <v>194</v>
      </c>
      <c r="C23" s="29" t="n">
        <f aca="false">$F$19*C22</f>
        <v>0.213628645454545</v>
      </c>
      <c r="D23" s="30" t="n">
        <f aca="false">$F$19*D22</f>
        <v>0.427257290909091</v>
      </c>
      <c r="E23" s="31" t="n">
        <f aca="false">$F$19*E22</f>
        <v>0.854514581818182</v>
      </c>
      <c r="F23" s="2"/>
    </row>
    <row r="24" customFormat="false" ht="15" hidden="false" customHeight="false" outlineLevel="0" collapsed="false">
      <c r="A24" s="2"/>
      <c r="B24" s="25" t="s">
        <v>195</v>
      </c>
      <c r="C24" s="32" t="s">
        <v>176</v>
      </c>
      <c r="D24" s="33" t="s">
        <v>177</v>
      </c>
      <c r="E24" s="34" t="s">
        <v>178</v>
      </c>
      <c r="F24" s="2"/>
    </row>
    <row r="25" customFormat="false" ht="15" hidden="false" customHeight="false" outlineLevel="0" collapsed="false">
      <c r="A25" s="2"/>
      <c r="B25" s="25" t="s">
        <v>196</v>
      </c>
      <c r="C25" s="29" t="n">
        <f aca="false">IFERROR(INDEX(LIST!$G$2:$G$131,MATCH(C24,LIST!$B$2:$B$131,0)),0)</f>
        <v>0.021</v>
      </c>
      <c r="D25" s="30" t="n">
        <f aca="false">IFERROR(INDEX(LIST!$G$2:$G$131,MATCH(D24,LIST!$B$2:$B$131,0)),0)</f>
        <v>0.0315</v>
      </c>
      <c r="E25" s="31" t="n">
        <f aca="false">IFERROR(INDEX(LIST!$G$2:$G$131,MATCH(E24,LIST!$B$2:$B$131,0)),0)</f>
        <v>0.116666666666667</v>
      </c>
      <c r="F25" s="2"/>
    </row>
    <row r="26" customFormat="false" ht="15" hidden="false" customHeight="false" outlineLevel="0" collapsed="false">
      <c r="A26" s="2"/>
      <c r="B26" s="25" t="s">
        <v>197</v>
      </c>
      <c r="C26" s="26" t="n">
        <v>1</v>
      </c>
      <c r="D26" s="27" t="n">
        <v>2</v>
      </c>
      <c r="E26" s="28" t="n">
        <v>3</v>
      </c>
      <c r="F26" s="2"/>
    </row>
    <row r="27" customFormat="false" ht="15" hidden="false" customHeight="false" outlineLevel="0" collapsed="false">
      <c r="A27" s="2"/>
      <c r="B27" s="25" t="s">
        <v>198</v>
      </c>
      <c r="C27" s="29" t="n">
        <f aca="false">C26*IFERROR(INDEX(LIST!$G$2:$G$131,MATCH("SPOON",LIST!$B$2:$B$131,0)),0)</f>
        <v>0.0064</v>
      </c>
      <c r="D27" s="30" t="n">
        <f aca="false">D26*IFERROR(INDEX(LIST!$G$2:$G$131,MATCH("SPOON",LIST!$B$2:$B$131,0)),0)</f>
        <v>0.0128</v>
      </c>
      <c r="E27" s="31" t="n">
        <f aca="false">E26*IFERROR(INDEX(LIST!$G$2:$G$131,MATCH("SPOON",LIST!$B$2:$B$131,0)),0)</f>
        <v>0.0192</v>
      </c>
      <c r="F27" s="2"/>
    </row>
    <row r="28" customFormat="false" ht="15" hidden="false" customHeight="false" outlineLevel="0" collapsed="false">
      <c r="A28" s="2"/>
      <c r="B28" s="25" t="s">
        <v>199</v>
      </c>
      <c r="C28" s="26" t="n">
        <v>1</v>
      </c>
      <c r="D28" s="27" t="n">
        <v>2</v>
      </c>
      <c r="E28" s="28" t="n">
        <v>4</v>
      </c>
      <c r="F28" s="2"/>
    </row>
    <row r="29" customFormat="false" ht="15" hidden="false" customHeight="false" outlineLevel="0" collapsed="false">
      <c r="A29" s="2"/>
      <c r="B29" s="25" t="s">
        <v>200</v>
      </c>
      <c r="C29" s="29" t="n">
        <f aca="false">C28*IFERROR(INDEX(LIST!$G$2:$G$131,MATCH("Bread",LIST!$B$2:$B$131,0)),0)</f>
        <v>0.012</v>
      </c>
      <c r="D29" s="30" t="n">
        <f aca="false">D28*IFERROR(INDEX(LIST!$G$2:$G$131,MATCH("Bread",LIST!$B$2:$B$131,0)),0)</f>
        <v>0.024</v>
      </c>
      <c r="E29" s="31" t="n">
        <f aca="false">E28*IFERROR(INDEX(LIST!$G$2:$G$131,MATCH("Bread",LIST!$B$2:$B$131,0)),0)</f>
        <v>0.048</v>
      </c>
      <c r="F29" s="2"/>
    </row>
    <row r="30" customFormat="false" ht="15" hidden="false" customHeight="false" outlineLevel="0" collapsed="false">
      <c r="A30" s="2"/>
      <c r="B30" s="25" t="s">
        <v>201</v>
      </c>
      <c r="C30" s="32" t="s">
        <v>183</v>
      </c>
      <c r="D30" s="33" t="s">
        <v>184</v>
      </c>
      <c r="E30" s="34" t="s">
        <v>185</v>
      </c>
      <c r="F30" s="2"/>
    </row>
    <row r="31" customFormat="false" ht="15" hidden="false" customHeight="false" outlineLevel="0" collapsed="false">
      <c r="A31" s="2"/>
      <c r="B31" s="25" t="s">
        <v>202</v>
      </c>
      <c r="C31" s="29" t="n">
        <f aca="false">IFERROR(INDEX(LIST!$G$2:$G$131,MATCH(C30,LIST!$B$2:$B$131,0)),0)</f>
        <v>0.02</v>
      </c>
      <c r="D31" s="30" t="n">
        <f aca="false">IFERROR(INDEX(LIST!$G$2:$G$131,MATCH(D30,LIST!$B$2:$B$131,0)),0)</f>
        <v>0.03</v>
      </c>
      <c r="E31" s="31" t="n">
        <f aca="false">IFERROR(INDEX(LIST!$G$2:$G$131,MATCH(E30,LIST!$B$2:$B$131,0)),0)</f>
        <v>0.04</v>
      </c>
      <c r="F31" s="2"/>
    </row>
    <row r="32" customFormat="false" ht="15" hidden="false" customHeight="false" outlineLevel="0" collapsed="false">
      <c r="A32" s="2"/>
      <c r="B32" s="25" t="s">
        <v>203</v>
      </c>
      <c r="C32" s="35" t="n">
        <v>0</v>
      </c>
      <c r="D32" s="36" t="n">
        <v>0</v>
      </c>
      <c r="E32" s="37" t="n">
        <v>0</v>
      </c>
      <c r="F32" s="2"/>
    </row>
    <row r="33" customFormat="false" ht="15" hidden="false" customHeight="false" outlineLevel="0" collapsed="false">
      <c r="A33" s="2"/>
      <c r="B33" s="25" t="s">
        <v>204</v>
      </c>
      <c r="C33" s="29" t="n">
        <f aca="false">C25+C27+C29+C31+C32</f>
        <v>0.0594</v>
      </c>
      <c r="D33" s="30" t="n">
        <f aca="false">D25+D27+D29+D31+D32</f>
        <v>0.0983</v>
      </c>
      <c r="E33" s="31" t="n">
        <f aca="false">E25+E27+E29+E31+E32</f>
        <v>0.223866666666667</v>
      </c>
      <c r="F33" s="2"/>
    </row>
    <row r="34" customFormat="false" ht="15" hidden="false" customHeight="false" outlineLevel="0" collapsed="false">
      <c r="A34" s="2"/>
      <c r="B34" s="4" t="s">
        <v>205</v>
      </c>
      <c r="C34" s="38" t="n">
        <f aca="false">C23+C33</f>
        <v>0.273028645454545</v>
      </c>
      <c r="D34" s="39" t="n">
        <f aca="false">D23+D33</f>
        <v>0.525557290909091</v>
      </c>
      <c r="E34" s="40" t="n">
        <f aca="false">E23+E33</f>
        <v>1.07838124848485</v>
      </c>
      <c r="F34" s="2"/>
    </row>
    <row r="35" customFormat="false" ht="15" hidden="false" customHeight="false" outlineLevel="0" collapsed="false">
      <c r="A35" s="2"/>
      <c r="B35" s="25" t="s">
        <v>9</v>
      </c>
      <c r="C35" s="35" t="n">
        <v>1.2</v>
      </c>
      <c r="D35" s="36" t="n">
        <v>2.2</v>
      </c>
      <c r="E35" s="37" t="n">
        <v>4.2</v>
      </c>
      <c r="F35" s="2"/>
    </row>
    <row r="36" customFormat="false" ht="15" hidden="false" customHeight="false" outlineLevel="0" collapsed="false">
      <c r="A36" s="2"/>
      <c r="B36" s="4" t="s">
        <v>206</v>
      </c>
      <c r="C36" s="41" t="n">
        <f aca="false">IF(C35=0,"",C34/C35)</f>
        <v>0.227523871212121</v>
      </c>
      <c r="D36" s="42" t="n">
        <f aca="false">IF(D35=0,"",D34/D35)</f>
        <v>0.23888967768595</v>
      </c>
      <c r="E36" s="43" t="n">
        <f aca="false">IF(E35=0,"",E34/E35)</f>
        <v>0.25675744011544</v>
      </c>
      <c r="F36" s="2"/>
    </row>
    <row r="37" customFormat="false" ht="15" hidden="false" customHeight="false" outlineLevel="0" collapsed="false">
      <c r="A37" s="2"/>
      <c r="B37" s="25" t="s">
        <v>11</v>
      </c>
      <c r="C37" s="35" t="n">
        <v>1.6</v>
      </c>
      <c r="D37" s="36" t="n">
        <v>2.8</v>
      </c>
      <c r="E37" s="37" t="n">
        <v>5</v>
      </c>
      <c r="F37" s="2"/>
    </row>
    <row r="38" customFormat="false" ht="15" hidden="false" customHeight="false" outlineLevel="0" collapsed="false">
      <c r="A38" s="2"/>
      <c r="B38" s="4" t="s">
        <v>207</v>
      </c>
      <c r="C38" s="41" t="n">
        <f aca="false">IF(N(C37)=0,"",C34/C37)</f>
        <v>0.170642903409091</v>
      </c>
      <c r="D38" s="42" t="n">
        <f aca="false">IF(N(D37)=0,"",D34/D37)</f>
        <v>0.187699032467532</v>
      </c>
      <c r="E38" s="43" t="n">
        <f aca="false">IF(N(E37)=0,"",E34/E37)</f>
        <v>0.21567624969697</v>
      </c>
      <c r="F38" s="2"/>
    </row>
    <row r="39" customFormat="false" ht="15" hidden="false" customHeight="false" outlineLevel="0" collapsed="false">
      <c r="A39" s="2"/>
      <c r="B39" s="25" t="s">
        <v>208</v>
      </c>
      <c r="C39" s="29" t="n">
        <f aca="false">C35-C34</f>
        <v>0.926971354545455</v>
      </c>
      <c r="D39" s="30" t="n">
        <f aca="false">D35-D34</f>
        <v>1.67444270909091</v>
      </c>
      <c r="E39" s="31" t="n">
        <f aca="false">E35-E34</f>
        <v>3.12161875151515</v>
      </c>
      <c r="F39" s="2"/>
    </row>
    <row r="40" customFormat="false" ht="15" hidden="false" customHeight="false" outlineLevel="0" collapsed="false">
      <c r="A40" s="2"/>
      <c r="B40" s="25" t="s">
        <v>209</v>
      </c>
      <c r="C40" s="29" t="n">
        <f aca="false">IF(N(C37)=0,"",C37-C34)</f>
        <v>1.32697135454545</v>
      </c>
      <c r="D40" s="30" t="n">
        <f aca="false">IF(N(D37)=0,"",D37-D34)</f>
        <v>2.27444270909091</v>
      </c>
      <c r="E40" s="31" t="n">
        <f aca="false">IF(N(E37)=0,"",E37-E34)</f>
        <v>3.92161875151515</v>
      </c>
      <c r="F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19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125</v>
      </c>
      <c r="C5" s="17" t="n">
        <v>30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0.0005975</v>
      </c>
      <c r="F5" s="20" t="n">
        <f aca="false">C5*E5</f>
        <v>0.017925</v>
      </c>
    </row>
    <row r="6" customFormat="false" ht="15" hidden="false" customHeight="false" outlineLevel="0" collapsed="false">
      <c r="A6" s="2" t="n">
        <v>2</v>
      </c>
      <c r="B6" s="2" t="s">
        <v>132</v>
      </c>
      <c r="C6" s="17" t="n">
        <v>2</v>
      </c>
      <c r="D6" s="2" t="str">
        <f aca="false">IFERROR(INDEX(LIST!$F$2:$F$131,MATCH(B6,LIST!$B$2:$B$131,0)),"")</f>
        <v>pc</v>
      </c>
      <c r="E6" s="18" t="n">
        <f aca="false">IFERROR(INDEX(LIST!$G$2:$G$131,MATCH(B6,LIST!$B$2:$B$131,0)),0)</f>
        <v>0.035</v>
      </c>
      <c r="F6" s="20" t="n">
        <f aca="false">C6*E6</f>
        <v>0.07</v>
      </c>
    </row>
    <row r="7" customFormat="false" ht="15" hidden="false" customHeight="false" outlineLevel="0" collapsed="false">
      <c r="A7" s="2" t="n">
        <v>3</v>
      </c>
      <c r="B7" s="2" t="s">
        <v>150</v>
      </c>
      <c r="C7" s="17" t="n">
        <v>15</v>
      </c>
      <c r="D7" s="2" t="str">
        <f aca="false">IFERROR(INDEX(LIST!$F$2:$F$131,MATCH(B7,LIST!$B$2:$B$131,0)),"")</f>
        <v>ml</v>
      </c>
      <c r="E7" s="18" t="n">
        <f aca="false">IFERROR(INDEX(LIST!$G$2:$G$131,MATCH(B7,LIST!$B$2:$B$131,0)),0)</f>
        <v>0.000594</v>
      </c>
      <c r="F7" s="20" t="n">
        <f aca="false">C7*E7</f>
        <v>0.00891</v>
      </c>
    </row>
    <row r="8" customFormat="false" ht="15" hidden="false" customHeight="false" outlineLevel="0" collapsed="false">
      <c r="A8" s="2" t="n">
        <v>4</v>
      </c>
      <c r="B8" s="2" t="s">
        <v>164</v>
      </c>
      <c r="C8" s="17" t="n">
        <v>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0.0006</v>
      </c>
      <c r="F8" s="20" t="n">
        <f aca="false">C8*E8</f>
        <v>0.003</v>
      </c>
    </row>
    <row r="9" customFormat="false" ht="15" hidden="false" customHeight="false" outlineLevel="0" collapsed="false">
      <c r="A9" s="2" t="n">
        <v>5</v>
      </c>
      <c r="B9" s="2" t="s">
        <v>76</v>
      </c>
      <c r="C9" s="17" t="n">
        <v>60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0.00045</v>
      </c>
      <c r="F9" s="20" t="n">
        <f aca="false">C9*E9</f>
        <v>0.027</v>
      </c>
    </row>
    <row r="10" customFormat="false" ht="15" hidden="false" customHeight="false" outlineLevel="0" collapsed="false">
      <c r="A10" s="2" t="n">
        <v>6</v>
      </c>
      <c r="B10" s="2" t="s">
        <v>59</v>
      </c>
      <c r="C10" s="17" t="n">
        <v>2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0.00172727272727273</v>
      </c>
      <c r="F10" s="20" t="n">
        <f aca="false">C10*E10</f>
        <v>0.00345454545454545</v>
      </c>
    </row>
    <row r="11" customFormat="false" ht="15" hidden="false" customHeight="false" outlineLevel="0" collapsed="false">
      <c r="A11" s="2" t="n">
        <v>7</v>
      </c>
      <c r="B11" s="2" t="s">
        <v>81</v>
      </c>
      <c r="C11" s="17" t="n">
        <v>120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0.0005</v>
      </c>
      <c r="F11" s="20" t="n">
        <f aca="false">C11*E11</f>
        <v>0.06</v>
      </c>
    </row>
    <row r="12" customFormat="false" ht="15" hidden="false" customHeight="false" outlineLevel="0" collapsed="false">
      <c r="A12" s="2" t="n">
        <v>8</v>
      </c>
      <c r="B12" s="2" t="s">
        <v>68</v>
      </c>
      <c r="C12" s="17" t="n">
        <v>15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0.00065</v>
      </c>
      <c r="F12" s="20" t="n">
        <f aca="false">C12*E12</f>
        <v>0.00975</v>
      </c>
    </row>
    <row r="13" customFormat="false" ht="15" hidden="false" customHeight="false" outlineLevel="0" collapsed="false">
      <c r="A13" s="2" t="n">
        <v>9</v>
      </c>
      <c r="B13" s="2" t="s">
        <v>117</v>
      </c>
      <c r="C13" s="17" t="n">
        <v>1.2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0.0018</v>
      </c>
      <c r="F13" s="20" t="n">
        <f aca="false">C13*E13</f>
        <v>0.00216</v>
      </c>
    </row>
    <row r="14" customFormat="false" ht="15" hidden="false" customHeight="false" outlineLevel="0" collapsed="false">
      <c r="A14" s="2" t="n">
        <v>10</v>
      </c>
      <c r="B14" s="2" t="s">
        <v>102</v>
      </c>
      <c r="C14" s="17" t="n">
        <v>1.2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0.002818</v>
      </c>
      <c r="F14" s="20" t="n">
        <f aca="false">C14*E14</f>
        <v>0.0033816</v>
      </c>
    </row>
    <row r="15" customFormat="false" ht="15" hidden="false" customHeight="false" outlineLevel="0" collapsed="false">
      <c r="A15" s="2" t="n">
        <v>11</v>
      </c>
      <c r="B15" s="2" t="s">
        <v>118</v>
      </c>
      <c r="C15" s="17" t="n">
        <v>1.2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0.004</v>
      </c>
      <c r="F15" s="20" t="n">
        <f aca="false">C15*E15</f>
        <v>0.0048</v>
      </c>
    </row>
    <row r="16" customFormat="false" ht="15" hidden="false" customHeight="false" outlineLevel="0" collapsed="false">
      <c r="A16" s="2" t="n">
        <v>12</v>
      </c>
      <c r="B16" s="2" t="s">
        <v>108</v>
      </c>
      <c r="C16" s="17" t="n">
        <v>1.2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0.00165</v>
      </c>
      <c r="F16" s="20" t="n">
        <f aca="false">C16*E16</f>
        <v>0.00198</v>
      </c>
    </row>
    <row r="17" customFormat="false" ht="15" hidden="false" customHeight="false" outlineLevel="0" collapsed="false">
      <c r="A17" s="2" t="n">
        <v>13</v>
      </c>
      <c r="B17" s="2" t="s">
        <v>100</v>
      </c>
      <c r="C17" s="17" t="n">
        <v>1.2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0.00165</v>
      </c>
      <c r="F17" s="20" t="n">
        <f aca="false">C17*E17</f>
        <v>0.00198</v>
      </c>
    </row>
    <row r="18" customFormat="false" ht="15" hidden="false" customHeight="false" outlineLevel="0" collapsed="false">
      <c r="A18" s="2" t="n">
        <v>14</v>
      </c>
      <c r="B18" s="2" t="s">
        <v>115</v>
      </c>
      <c r="C18" s="17" t="n">
        <v>1.2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0.000165</v>
      </c>
      <c r="F18" s="20" t="n">
        <f aca="false">C18*E18</f>
        <v>0.000198</v>
      </c>
    </row>
    <row r="19" customFormat="false" ht="15" hidden="false" customHeight="false" outlineLevel="0" collapsed="false">
      <c r="A19" s="2"/>
      <c r="B19" s="4" t="s">
        <v>191</v>
      </c>
      <c r="C19" s="2"/>
      <c r="D19" s="2"/>
      <c r="E19" s="2"/>
      <c r="F19" s="21" t="n">
        <f aca="false">SUM(F5:F18)</f>
        <v>0.214539145454545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4" t="s">
        <v>192</v>
      </c>
      <c r="C21" s="22" t="s">
        <v>5</v>
      </c>
      <c r="D21" s="23" t="s">
        <v>6</v>
      </c>
      <c r="E21" s="24" t="s">
        <v>7</v>
      </c>
      <c r="F21" s="2"/>
    </row>
    <row r="22" customFormat="false" ht="15" hidden="false" customHeight="false" outlineLevel="0" collapsed="false">
      <c r="A22" s="2"/>
      <c r="B22" s="25" t="s">
        <v>193</v>
      </c>
      <c r="C22" s="26" t="n">
        <v>1</v>
      </c>
      <c r="D22" s="27" t="n">
        <v>2</v>
      </c>
      <c r="E22" s="28" t="n">
        <v>4</v>
      </c>
      <c r="F22" s="2"/>
    </row>
    <row r="23" customFormat="false" ht="15" hidden="false" customHeight="false" outlineLevel="0" collapsed="false">
      <c r="A23" s="2"/>
      <c r="B23" s="25" t="s">
        <v>194</v>
      </c>
      <c r="C23" s="29" t="n">
        <f aca="false">$F$19*C22</f>
        <v>0.214539145454545</v>
      </c>
      <c r="D23" s="30" t="n">
        <f aca="false">$F$19*D22</f>
        <v>0.429078290909091</v>
      </c>
      <c r="E23" s="31" t="n">
        <f aca="false">$F$19*E22</f>
        <v>0.858156581818182</v>
      </c>
      <c r="F23" s="2"/>
    </row>
    <row r="24" customFormat="false" ht="15" hidden="false" customHeight="false" outlineLevel="0" collapsed="false">
      <c r="A24" s="2"/>
      <c r="B24" s="25" t="s">
        <v>195</v>
      </c>
      <c r="C24" s="32" t="s">
        <v>176</v>
      </c>
      <c r="D24" s="33" t="s">
        <v>177</v>
      </c>
      <c r="E24" s="34" t="s">
        <v>178</v>
      </c>
      <c r="F24" s="2"/>
    </row>
    <row r="25" customFormat="false" ht="15" hidden="false" customHeight="false" outlineLevel="0" collapsed="false">
      <c r="A25" s="2"/>
      <c r="B25" s="25" t="s">
        <v>196</v>
      </c>
      <c r="C25" s="29" t="n">
        <f aca="false">IFERROR(INDEX(LIST!$G$2:$G$131,MATCH(C24,LIST!$B$2:$B$131,0)),0)</f>
        <v>0.021</v>
      </c>
      <c r="D25" s="30" t="n">
        <f aca="false">IFERROR(INDEX(LIST!$G$2:$G$131,MATCH(D24,LIST!$B$2:$B$131,0)),0)</f>
        <v>0.0315</v>
      </c>
      <c r="E25" s="31" t="n">
        <f aca="false">IFERROR(INDEX(LIST!$G$2:$G$131,MATCH(E24,LIST!$B$2:$B$131,0)),0)</f>
        <v>0.116666666666667</v>
      </c>
      <c r="F25" s="2"/>
    </row>
    <row r="26" customFormat="false" ht="15" hidden="false" customHeight="false" outlineLevel="0" collapsed="false">
      <c r="A26" s="2"/>
      <c r="B26" s="25" t="s">
        <v>197</v>
      </c>
      <c r="C26" s="26" t="n">
        <v>1.45</v>
      </c>
      <c r="D26" s="27" t="n">
        <v>4.5</v>
      </c>
      <c r="E26" s="28" t="n">
        <v>6</v>
      </c>
      <c r="F26" s="2"/>
    </row>
    <row r="27" customFormat="false" ht="15" hidden="false" customHeight="false" outlineLevel="0" collapsed="false">
      <c r="A27" s="2"/>
      <c r="B27" s="25" t="s">
        <v>198</v>
      </c>
      <c r="C27" s="29" t="n">
        <f aca="false">C26*IFERROR(INDEX(LIST!$G$2:$G$131,MATCH("SPOON",LIST!$B$2:$B$131,0)),0)</f>
        <v>0.00928</v>
      </c>
      <c r="D27" s="30" t="n">
        <f aca="false">D26*IFERROR(INDEX(LIST!$G$2:$G$131,MATCH("SPOON",LIST!$B$2:$B$131,0)),0)</f>
        <v>0.0288</v>
      </c>
      <c r="E27" s="31" t="n">
        <f aca="false">E26*IFERROR(INDEX(LIST!$G$2:$G$131,MATCH("SPOON",LIST!$B$2:$B$131,0)),0)</f>
        <v>0.0384</v>
      </c>
      <c r="F27" s="2"/>
    </row>
    <row r="28" customFormat="false" ht="15" hidden="false" customHeight="false" outlineLevel="0" collapsed="false">
      <c r="A28" s="2"/>
      <c r="B28" s="25" t="s">
        <v>199</v>
      </c>
      <c r="C28" s="26" t="n">
        <v>1</v>
      </c>
      <c r="D28" s="27" t="n">
        <v>2</v>
      </c>
      <c r="E28" s="28" t="n">
        <v>4</v>
      </c>
      <c r="F28" s="2"/>
    </row>
    <row r="29" customFormat="false" ht="15" hidden="false" customHeight="false" outlineLevel="0" collapsed="false">
      <c r="A29" s="2"/>
      <c r="B29" s="25" t="s">
        <v>200</v>
      </c>
      <c r="C29" s="29" t="n">
        <f aca="false">C28*IFERROR(INDEX(LIST!$G$2:$G$131,MATCH("Bread",LIST!$B$2:$B$131,0)),0)</f>
        <v>0.012</v>
      </c>
      <c r="D29" s="30" t="n">
        <f aca="false">D28*IFERROR(INDEX(LIST!$G$2:$G$131,MATCH("Bread",LIST!$B$2:$B$131,0)),0)</f>
        <v>0.024</v>
      </c>
      <c r="E29" s="31" t="n">
        <f aca="false">E28*IFERROR(INDEX(LIST!$G$2:$G$131,MATCH("Bread",LIST!$B$2:$B$131,0)),0)</f>
        <v>0.048</v>
      </c>
      <c r="F29" s="2"/>
    </row>
    <row r="30" customFormat="false" ht="15" hidden="false" customHeight="false" outlineLevel="0" collapsed="false">
      <c r="A30" s="2"/>
      <c r="B30" s="25" t="s">
        <v>201</v>
      </c>
      <c r="C30" s="32" t="s">
        <v>183</v>
      </c>
      <c r="D30" s="33" t="s">
        <v>184</v>
      </c>
      <c r="E30" s="34" t="s">
        <v>185</v>
      </c>
      <c r="F30" s="2"/>
    </row>
    <row r="31" customFormat="false" ht="15" hidden="false" customHeight="false" outlineLevel="0" collapsed="false">
      <c r="A31" s="2"/>
      <c r="B31" s="25" t="s">
        <v>202</v>
      </c>
      <c r="C31" s="29" t="n">
        <f aca="false">IFERROR(INDEX(LIST!$G$2:$G$131,MATCH(C30,LIST!$B$2:$B$131,0)),0)</f>
        <v>0.02</v>
      </c>
      <c r="D31" s="30" t="n">
        <f aca="false">IFERROR(INDEX(LIST!$G$2:$G$131,MATCH(D30,LIST!$B$2:$B$131,0)),0)</f>
        <v>0.03</v>
      </c>
      <c r="E31" s="31" t="n">
        <f aca="false">IFERROR(INDEX(LIST!$G$2:$G$131,MATCH(E30,LIST!$B$2:$B$131,0)),0)</f>
        <v>0.04</v>
      </c>
      <c r="F31" s="2"/>
    </row>
    <row r="32" customFormat="false" ht="15" hidden="false" customHeight="false" outlineLevel="0" collapsed="false">
      <c r="A32" s="2"/>
      <c r="B32" s="25" t="s">
        <v>203</v>
      </c>
      <c r="C32" s="35" t="n">
        <v>0</v>
      </c>
      <c r="D32" s="36" t="n">
        <v>0</v>
      </c>
      <c r="E32" s="37" t="n">
        <v>0</v>
      </c>
      <c r="F32" s="2"/>
    </row>
    <row r="33" customFormat="false" ht="15" hidden="false" customHeight="false" outlineLevel="0" collapsed="false">
      <c r="A33" s="2"/>
      <c r="B33" s="25" t="s">
        <v>204</v>
      </c>
      <c r="C33" s="29" t="n">
        <f aca="false">C25+C27+C29+C31+C32</f>
        <v>0.06228</v>
      </c>
      <c r="D33" s="30" t="n">
        <f aca="false">D25+D27+D29+D31+D32</f>
        <v>0.1143</v>
      </c>
      <c r="E33" s="31" t="n">
        <f aca="false">E25+E27+E29+E31+E32</f>
        <v>0.243066666666667</v>
      </c>
      <c r="F33" s="2"/>
    </row>
    <row r="34" customFormat="false" ht="15" hidden="false" customHeight="false" outlineLevel="0" collapsed="false">
      <c r="A34" s="2"/>
      <c r="B34" s="4" t="s">
        <v>205</v>
      </c>
      <c r="C34" s="38" t="n">
        <f aca="false">C23+C33</f>
        <v>0.276819145454545</v>
      </c>
      <c r="D34" s="39" t="n">
        <f aca="false">D23+D33</f>
        <v>0.543378290909091</v>
      </c>
      <c r="E34" s="40" t="n">
        <f aca="false">E23+E33</f>
        <v>1.10122324848485</v>
      </c>
      <c r="F34" s="2"/>
    </row>
    <row r="35" customFormat="false" ht="15" hidden="false" customHeight="false" outlineLevel="0" collapsed="false">
      <c r="A35" s="2"/>
      <c r="B35" s="25" t="s">
        <v>9</v>
      </c>
      <c r="C35" s="35" t="n">
        <v>1.4</v>
      </c>
      <c r="D35" s="36" t="n">
        <v>2.6</v>
      </c>
      <c r="E35" s="37" t="n">
        <v>5</v>
      </c>
      <c r="F35" s="2"/>
    </row>
    <row r="36" customFormat="false" ht="15" hidden="false" customHeight="false" outlineLevel="0" collapsed="false">
      <c r="A36" s="2"/>
      <c r="B36" s="4" t="s">
        <v>206</v>
      </c>
      <c r="C36" s="41" t="n">
        <f aca="false">IF(C35=0,"",C34/C35)</f>
        <v>0.197727961038961</v>
      </c>
      <c r="D36" s="42" t="n">
        <f aca="false">IF(D35=0,"",D34/D35)</f>
        <v>0.20899165034965</v>
      </c>
      <c r="E36" s="43" t="n">
        <f aca="false">IF(E35=0,"",E34/E35)</f>
        <v>0.22024464969697</v>
      </c>
      <c r="F36" s="2"/>
    </row>
    <row r="37" customFormat="false" ht="15" hidden="false" customHeight="false" outlineLevel="0" collapsed="false">
      <c r="A37" s="2"/>
      <c r="B37" s="25" t="s">
        <v>11</v>
      </c>
      <c r="C37" s="35" t="n">
        <v>1.85</v>
      </c>
      <c r="D37" s="36" t="n">
        <v>3.2</v>
      </c>
      <c r="E37" s="37" t="n">
        <v>6</v>
      </c>
      <c r="F37" s="2"/>
    </row>
    <row r="38" customFormat="false" ht="15" hidden="false" customHeight="false" outlineLevel="0" collapsed="false">
      <c r="A38" s="2"/>
      <c r="B38" s="4" t="s">
        <v>207</v>
      </c>
      <c r="C38" s="41" t="n">
        <f aca="false">IF(N(C37)=0,"",C34/C37)</f>
        <v>0.149631970515971</v>
      </c>
      <c r="D38" s="42" t="n">
        <f aca="false">IF(N(D37)=0,"",D34/D37)</f>
        <v>0.169805715909091</v>
      </c>
      <c r="E38" s="43" t="n">
        <f aca="false">IF(N(E37)=0,"",E34/E37)</f>
        <v>0.183537208080808</v>
      </c>
      <c r="F38" s="2"/>
    </row>
    <row r="39" customFormat="false" ht="15" hidden="false" customHeight="false" outlineLevel="0" collapsed="false">
      <c r="A39" s="2"/>
      <c r="B39" s="25" t="s">
        <v>208</v>
      </c>
      <c r="C39" s="29" t="n">
        <f aca="false">C35-C34</f>
        <v>1.12318085454545</v>
      </c>
      <c r="D39" s="30" t="n">
        <f aca="false">D35-D34</f>
        <v>2.05662170909091</v>
      </c>
      <c r="E39" s="31" t="n">
        <f aca="false">E35-E34</f>
        <v>3.89877675151515</v>
      </c>
      <c r="F39" s="2"/>
    </row>
    <row r="40" customFormat="false" ht="15" hidden="false" customHeight="false" outlineLevel="0" collapsed="false">
      <c r="A40" s="2"/>
      <c r="B40" s="25" t="s">
        <v>209</v>
      </c>
      <c r="C40" s="29" t="n">
        <f aca="false">IF(N(C37)=0,"",C37-C34)</f>
        <v>1.57318085454545</v>
      </c>
      <c r="D40" s="30" t="n">
        <f aca="false">IF(N(D37)=0,"",D37-D34)</f>
        <v>2.65662170909091</v>
      </c>
      <c r="E40" s="31" t="n">
        <f aca="false">IF(N(E37)=0,"",E37-E34)</f>
        <v>4.89877675151515</v>
      </c>
      <c r="F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132</v>
      </c>
      <c r="C5" s="17" t="n">
        <v>4</v>
      </c>
      <c r="D5" s="2" t="str">
        <f aca="false">IFERROR(INDEX(LIST!$F$2:$F$131,MATCH(B5,LIST!$B$2:$B$131,0)),"")</f>
        <v>pc</v>
      </c>
      <c r="E5" s="18" t="n">
        <f aca="false">IFERROR(INDEX(LIST!$G$2:$G$131,MATCH(B5,LIST!$B$2:$B$131,0)),0)</f>
        <v>0.035</v>
      </c>
      <c r="F5" s="20" t="n">
        <f aca="false">C5*E5</f>
        <v>0.14</v>
      </c>
    </row>
    <row r="6" customFormat="false" ht="15" hidden="false" customHeight="false" outlineLevel="0" collapsed="false">
      <c r="A6" s="2" t="n">
        <v>2</v>
      </c>
      <c r="B6" s="2" t="s">
        <v>167</v>
      </c>
      <c r="C6" s="17" t="n">
        <v>60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0.00217647058823529</v>
      </c>
      <c r="F6" s="20" t="n">
        <f aca="false">C6*E6</f>
        <v>0.130588235294118</v>
      </c>
    </row>
    <row r="7" customFormat="false" ht="15" hidden="false" customHeight="false" outlineLevel="0" collapsed="false">
      <c r="A7" s="2" t="n">
        <v>3</v>
      </c>
      <c r="B7" s="2" t="s">
        <v>150</v>
      </c>
      <c r="C7" s="17" t="n">
        <v>15</v>
      </c>
      <c r="D7" s="2" t="str">
        <f aca="false">IFERROR(INDEX(LIST!$F$2:$F$131,MATCH(B7,LIST!$B$2:$B$131,0)),"")</f>
        <v>ml</v>
      </c>
      <c r="E7" s="18" t="n">
        <f aca="false">IFERROR(INDEX(LIST!$G$2:$G$131,MATCH(B7,LIST!$B$2:$B$131,0)),0)</f>
        <v>0.000594</v>
      </c>
      <c r="F7" s="20" t="n">
        <f aca="false">C7*E7</f>
        <v>0.00891</v>
      </c>
    </row>
    <row r="8" customFormat="false" ht="15" hidden="false" customHeight="false" outlineLevel="0" collapsed="false">
      <c r="A8" s="2"/>
      <c r="B8" s="4" t="s">
        <v>191</v>
      </c>
      <c r="C8" s="2"/>
      <c r="D8" s="2"/>
      <c r="E8" s="2"/>
      <c r="F8" s="21" t="n">
        <f aca="false">SUM(F5:F7)</f>
        <v>0.279498235294118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4" t="s">
        <v>192</v>
      </c>
      <c r="C10" s="22" t="s">
        <v>5</v>
      </c>
      <c r="D10" s="23" t="s">
        <v>6</v>
      </c>
      <c r="E10" s="24" t="s">
        <v>7</v>
      </c>
      <c r="F10" s="2"/>
    </row>
    <row r="11" customFormat="false" ht="15" hidden="false" customHeight="false" outlineLevel="0" collapsed="false">
      <c r="A11" s="2"/>
      <c r="B11" s="25" t="s">
        <v>193</v>
      </c>
      <c r="C11" s="26" t="n">
        <v>1</v>
      </c>
      <c r="D11" s="27" t="n">
        <v>2</v>
      </c>
      <c r="E11" s="28" t="n">
        <v>4</v>
      </c>
      <c r="F11" s="2"/>
    </row>
    <row r="12" customFormat="false" ht="15" hidden="false" customHeight="false" outlineLevel="0" collapsed="false">
      <c r="A12" s="2"/>
      <c r="B12" s="25" t="s">
        <v>194</v>
      </c>
      <c r="C12" s="29" t="n">
        <f aca="false">$F$8*C11</f>
        <v>0.279498235294118</v>
      </c>
      <c r="D12" s="30" t="n">
        <f aca="false">$F$8*D11</f>
        <v>0.558996470588235</v>
      </c>
      <c r="E12" s="31" t="n">
        <f aca="false">$F$8*E11</f>
        <v>1.11799294117647</v>
      </c>
      <c r="F12" s="2"/>
    </row>
    <row r="13" customFormat="false" ht="15" hidden="false" customHeight="false" outlineLevel="0" collapsed="false">
      <c r="A13" s="2"/>
      <c r="B13" s="25" t="s">
        <v>195</v>
      </c>
      <c r="C13" s="32" t="s">
        <v>176</v>
      </c>
      <c r="D13" s="33" t="s">
        <v>177</v>
      </c>
      <c r="E13" s="34" t="s">
        <v>178</v>
      </c>
      <c r="F13" s="2"/>
    </row>
    <row r="14" customFormat="false" ht="15" hidden="false" customHeight="false" outlineLevel="0" collapsed="false">
      <c r="A14" s="2"/>
      <c r="B14" s="25" t="s">
        <v>196</v>
      </c>
      <c r="C14" s="29" t="n">
        <f aca="false">IFERROR(INDEX(LIST!$G$2:$G$131,MATCH(C13,LIST!$B$2:$B$131,0)),0)</f>
        <v>0.021</v>
      </c>
      <c r="D14" s="30" t="n">
        <f aca="false">IFERROR(INDEX(LIST!$G$2:$G$131,MATCH(D13,LIST!$B$2:$B$131,0)),0)</f>
        <v>0.0315</v>
      </c>
      <c r="E14" s="31" t="n">
        <f aca="false">IFERROR(INDEX(LIST!$G$2:$G$131,MATCH(E13,LIST!$B$2:$B$131,0)),0)</f>
        <v>0.116666666666667</v>
      </c>
      <c r="F14" s="2"/>
    </row>
    <row r="15" customFormat="false" ht="15" hidden="false" customHeight="false" outlineLevel="0" collapsed="false">
      <c r="A15" s="2"/>
      <c r="B15" s="25" t="s">
        <v>197</v>
      </c>
      <c r="C15" s="26" t="n">
        <v>1</v>
      </c>
      <c r="D15" s="27" t="n">
        <v>2</v>
      </c>
      <c r="E15" s="28" t="n">
        <v>3</v>
      </c>
      <c r="F15" s="2"/>
    </row>
    <row r="16" customFormat="false" ht="15" hidden="false" customHeight="false" outlineLevel="0" collapsed="false">
      <c r="A16" s="2"/>
      <c r="B16" s="25" t="s">
        <v>198</v>
      </c>
      <c r="C16" s="29" t="n">
        <f aca="false">C15*IFERROR(INDEX(LIST!$G$2:$G$131,MATCH("SPOON",LIST!$B$2:$B$131,0)),0)</f>
        <v>0.0064</v>
      </c>
      <c r="D16" s="30" t="n">
        <f aca="false">D15*IFERROR(INDEX(LIST!$G$2:$G$131,MATCH("SPOON",LIST!$B$2:$B$131,0)),0)</f>
        <v>0.0128</v>
      </c>
      <c r="E16" s="31" t="n">
        <f aca="false">E15*IFERROR(INDEX(LIST!$G$2:$G$131,MATCH("SPOON",LIST!$B$2:$B$131,0)),0)</f>
        <v>0.0192</v>
      </c>
      <c r="F16" s="2"/>
    </row>
    <row r="17" customFormat="false" ht="15" hidden="false" customHeight="false" outlineLevel="0" collapsed="false">
      <c r="A17" s="2"/>
      <c r="B17" s="25" t="s">
        <v>199</v>
      </c>
      <c r="C17" s="26" t="n">
        <v>1</v>
      </c>
      <c r="D17" s="27" t="n">
        <v>2</v>
      </c>
      <c r="E17" s="28" t="n">
        <v>4</v>
      </c>
      <c r="F17" s="2"/>
    </row>
    <row r="18" customFormat="false" ht="15" hidden="false" customHeight="false" outlineLevel="0" collapsed="false">
      <c r="A18" s="2"/>
      <c r="B18" s="25" t="s">
        <v>200</v>
      </c>
      <c r="C18" s="29" t="n">
        <f aca="false">C17*IFERROR(INDEX(LIST!$G$2:$G$131,MATCH("Bread",LIST!$B$2:$B$131,0)),0)</f>
        <v>0.012</v>
      </c>
      <c r="D18" s="30" t="n">
        <f aca="false">D17*IFERROR(INDEX(LIST!$G$2:$G$131,MATCH("Bread",LIST!$B$2:$B$131,0)),0)</f>
        <v>0.024</v>
      </c>
      <c r="E18" s="31" t="n">
        <f aca="false">E17*IFERROR(INDEX(LIST!$G$2:$G$131,MATCH("Bread",LIST!$B$2:$B$131,0)),0)</f>
        <v>0.048</v>
      </c>
      <c r="F18" s="2"/>
    </row>
    <row r="19" customFormat="false" ht="15" hidden="false" customHeight="false" outlineLevel="0" collapsed="false">
      <c r="A19" s="2"/>
      <c r="B19" s="25" t="s">
        <v>201</v>
      </c>
      <c r="C19" s="32" t="s">
        <v>183</v>
      </c>
      <c r="D19" s="33" t="s">
        <v>184</v>
      </c>
      <c r="E19" s="34" t="s">
        <v>185</v>
      </c>
      <c r="F19" s="2"/>
    </row>
    <row r="20" customFormat="false" ht="15" hidden="false" customHeight="false" outlineLevel="0" collapsed="false">
      <c r="A20" s="2"/>
      <c r="B20" s="25" t="s">
        <v>202</v>
      </c>
      <c r="C20" s="29" t="n">
        <f aca="false">IFERROR(INDEX(LIST!$G$2:$G$131,MATCH(C19,LIST!$B$2:$B$131,0)),0)</f>
        <v>0.02</v>
      </c>
      <c r="D20" s="30" t="n">
        <f aca="false">IFERROR(INDEX(LIST!$G$2:$G$131,MATCH(D19,LIST!$B$2:$B$131,0)),0)</f>
        <v>0.03</v>
      </c>
      <c r="E20" s="31" t="n">
        <f aca="false">IFERROR(INDEX(LIST!$G$2:$G$131,MATCH(E19,LIST!$B$2:$B$131,0)),0)</f>
        <v>0.04</v>
      </c>
      <c r="F20" s="2"/>
    </row>
    <row r="21" customFormat="false" ht="15" hidden="false" customHeight="false" outlineLevel="0" collapsed="false">
      <c r="A21" s="2"/>
      <c r="B21" s="25" t="s">
        <v>203</v>
      </c>
      <c r="C21" s="35" t="n">
        <v>0</v>
      </c>
      <c r="D21" s="36" t="n">
        <v>0</v>
      </c>
      <c r="E21" s="37" t="n">
        <v>0</v>
      </c>
      <c r="F21" s="2"/>
    </row>
    <row r="22" customFormat="false" ht="15" hidden="false" customHeight="false" outlineLevel="0" collapsed="false">
      <c r="A22" s="2"/>
      <c r="B22" s="25" t="s">
        <v>204</v>
      </c>
      <c r="C22" s="29" t="n">
        <f aca="false">C14+C16+C18+C20+C21</f>
        <v>0.0594</v>
      </c>
      <c r="D22" s="30" t="n">
        <f aca="false">D14+D16+D18+D20+D21</f>
        <v>0.0983</v>
      </c>
      <c r="E22" s="31" t="n">
        <f aca="false">E14+E16+E18+E20+E21</f>
        <v>0.223866666666667</v>
      </c>
      <c r="F22" s="2"/>
    </row>
    <row r="23" customFormat="false" ht="15" hidden="false" customHeight="false" outlineLevel="0" collapsed="false">
      <c r="A23" s="2"/>
      <c r="B23" s="4" t="s">
        <v>205</v>
      </c>
      <c r="C23" s="38" t="n">
        <f aca="false">C12+C22</f>
        <v>0.338898235294118</v>
      </c>
      <c r="D23" s="39" t="n">
        <f aca="false">D12+D22</f>
        <v>0.657296470588235</v>
      </c>
      <c r="E23" s="40" t="n">
        <f aca="false">E12+E22</f>
        <v>1.34185960784314</v>
      </c>
      <c r="F23" s="2"/>
    </row>
    <row r="24" customFormat="false" ht="15" hidden="false" customHeight="false" outlineLevel="0" collapsed="false">
      <c r="A24" s="2"/>
      <c r="B24" s="25" t="s">
        <v>9</v>
      </c>
      <c r="C24" s="35" t="n">
        <v>1.3</v>
      </c>
      <c r="D24" s="36" t="n">
        <v>2.4</v>
      </c>
      <c r="E24" s="37" t="n">
        <v>4.6</v>
      </c>
      <c r="F24" s="2"/>
    </row>
    <row r="25" customFormat="false" ht="15" hidden="false" customHeight="false" outlineLevel="0" collapsed="false">
      <c r="A25" s="2"/>
      <c r="B25" s="4" t="s">
        <v>206</v>
      </c>
      <c r="C25" s="41" t="n">
        <f aca="false">IF(C24=0,"",C23/C24)</f>
        <v>0.260690950226244</v>
      </c>
      <c r="D25" s="42" t="n">
        <f aca="false">IF(D24=0,"",D23/D24)</f>
        <v>0.273873529411765</v>
      </c>
      <c r="E25" s="43" t="n">
        <f aca="false">IF(E24=0,"",E23/E24)</f>
        <v>0.291708610400682</v>
      </c>
      <c r="F25" s="2"/>
    </row>
    <row r="26" customFormat="false" ht="15" hidden="false" customHeight="false" outlineLevel="0" collapsed="false">
      <c r="A26" s="2"/>
      <c r="B26" s="25" t="s">
        <v>11</v>
      </c>
      <c r="C26" s="35" t="n">
        <v>1.7</v>
      </c>
      <c r="D26" s="36" t="n">
        <v>3</v>
      </c>
      <c r="E26" s="37" t="n">
        <v>5.6</v>
      </c>
      <c r="F26" s="2"/>
    </row>
    <row r="27" customFormat="false" ht="15" hidden="false" customHeight="false" outlineLevel="0" collapsed="false">
      <c r="A27" s="2"/>
      <c r="B27" s="4" t="s">
        <v>207</v>
      </c>
      <c r="C27" s="41" t="n">
        <f aca="false">IF(N(C26)=0,"",C23/C26)</f>
        <v>0.199351903114187</v>
      </c>
      <c r="D27" s="42" t="n">
        <f aca="false">IF(N(D26)=0,"",D23/D26)</f>
        <v>0.219098823529412</v>
      </c>
      <c r="E27" s="43" t="n">
        <f aca="false">IF(N(E26)=0,"",E23/E26)</f>
        <v>0.239617787114846</v>
      </c>
      <c r="F27" s="2"/>
    </row>
    <row r="28" customFormat="false" ht="15" hidden="false" customHeight="false" outlineLevel="0" collapsed="false">
      <c r="A28" s="2"/>
      <c r="B28" s="25" t="s">
        <v>208</v>
      </c>
      <c r="C28" s="29" t="n">
        <f aca="false">C24-C23</f>
        <v>0.961101764705882</v>
      </c>
      <c r="D28" s="30" t="n">
        <f aca="false">D24-D23</f>
        <v>1.74270352941176</v>
      </c>
      <c r="E28" s="31" t="n">
        <f aca="false">E24-E23</f>
        <v>3.25814039215686</v>
      </c>
      <c r="F28" s="2"/>
    </row>
    <row r="29" customFormat="false" ht="15" hidden="false" customHeight="false" outlineLevel="0" collapsed="false">
      <c r="A29" s="2"/>
      <c r="B29" s="25" t="s">
        <v>209</v>
      </c>
      <c r="C29" s="29" t="n">
        <f aca="false">IF(N(C26)=0,"",C26-C23)</f>
        <v>1.36110176470588</v>
      </c>
      <c r="D29" s="30" t="n">
        <f aca="false">IF(N(D26)=0,"",D26-D23)</f>
        <v>2.34270352941176</v>
      </c>
      <c r="E29" s="31" t="n">
        <f aca="false">IF(N(E26)=0,"",E26-E23)</f>
        <v>4.25814039215686</v>
      </c>
      <c r="F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132</v>
      </c>
      <c r="C5" s="17" t="n">
        <v>4</v>
      </c>
      <c r="D5" s="2" t="str">
        <f aca="false">IFERROR(INDEX(LIST!$F$2:$F$131,MATCH(B5,LIST!$B$2:$B$131,0)),"")</f>
        <v>pc</v>
      </c>
      <c r="E5" s="18" t="n">
        <f aca="false">IFERROR(INDEX(LIST!$G$2:$G$131,MATCH(B5,LIST!$B$2:$B$131,0)),0)</f>
        <v>0.035</v>
      </c>
      <c r="F5" s="20" t="n">
        <f aca="false">C5*E5</f>
        <v>0.14</v>
      </c>
    </row>
    <row r="6" customFormat="false" ht="15" hidden="false" customHeight="false" outlineLevel="0" collapsed="false">
      <c r="A6" s="2" t="n">
        <v>2</v>
      </c>
      <c r="B6" s="2" t="s">
        <v>150</v>
      </c>
      <c r="C6" s="17" t="n">
        <v>30</v>
      </c>
      <c r="D6" s="2" t="str">
        <f aca="false">IFERROR(INDEX(LIST!$F$2:$F$131,MATCH(B6,LIST!$B$2:$B$131,0)),"")</f>
        <v>ml</v>
      </c>
      <c r="E6" s="18" t="n">
        <f aca="false">IFERROR(INDEX(LIST!$G$2:$G$131,MATCH(B6,LIST!$B$2:$B$131,0)),0)</f>
        <v>0.000594</v>
      </c>
      <c r="F6" s="20" t="n">
        <f aca="false">C6*E6</f>
        <v>0.01782</v>
      </c>
    </row>
    <row r="7" customFormat="false" ht="15" hidden="false" customHeight="false" outlineLevel="0" collapsed="false">
      <c r="A7" s="2"/>
      <c r="B7" s="4" t="s">
        <v>191</v>
      </c>
      <c r="C7" s="2"/>
      <c r="D7" s="2"/>
      <c r="E7" s="2"/>
      <c r="F7" s="21" t="n">
        <f aca="false">SUM(F5:F6)</f>
        <v>0.15782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2"/>
      <c r="B9" s="4" t="s">
        <v>192</v>
      </c>
      <c r="C9" s="22" t="s">
        <v>5</v>
      </c>
      <c r="D9" s="23" t="s">
        <v>6</v>
      </c>
      <c r="E9" s="24" t="s">
        <v>7</v>
      </c>
      <c r="F9" s="2"/>
    </row>
    <row r="10" customFormat="false" ht="15" hidden="false" customHeight="false" outlineLevel="0" collapsed="false">
      <c r="A10" s="2"/>
      <c r="B10" s="25" t="s">
        <v>193</v>
      </c>
      <c r="C10" s="26" t="n">
        <v>1</v>
      </c>
      <c r="D10" s="27" t="n">
        <v>2</v>
      </c>
      <c r="E10" s="28" t="n">
        <v>4</v>
      </c>
      <c r="F10" s="2"/>
    </row>
    <row r="11" customFormat="false" ht="15" hidden="false" customHeight="false" outlineLevel="0" collapsed="false">
      <c r="A11" s="2"/>
      <c r="B11" s="25" t="s">
        <v>194</v>
      </c>
      <c r="C11" s="29" t="n">
        <f aca="false">$F$7*C10</f>
        <v>0.15782</v>
      </c>
      <c r="D11" s="30" t="n">
        <f aca="false">$F$7*D10</f>
        <v>0.31564</v>
      </c>
      <c r="E11" s="31" t="n">
        <f aca="false">$F$7*E10</f>
        <v>0.63128</v>
      </c>
      <c r="F11" s="2"/>
    </row>
    <row r="12" customFormat="false" ht="15" hidden="false" customHeight="false" outlineLevel="0" collapsed="false">
      <c r="A12" s="2"/>
      <c r="B12" s="25" t="s">
        <v>195</v>
      </c>
      <c r="C12" s="32" t="s">
        <v>176</v>
      </c>
      <c r="D12" s="33" t="s">
        <v>177</v>
      </c>
      <c r="E12" s="34" t="s">
        <v>178</v>
      </c>
      <c r="F12" s="2"/>
    </row>
    <row r="13" customFormat="false" ht="15" hidden="false" customHeight="false" outlineLevel="0" collapsed="false">
      <c r="A13" s="2"/>
      <c r="B13" s="25" t="s">
        <v>196</v>
      </c>
      <c r="C13" s="29" t="n">
        <f aca="false">IFERROR(INDEX(LIST!$G$2:$G$131,MATCH(C12,LIST!$B$2:$B$131,0)),0)</f>
        <v>0.021</v>
      </c>
      <c r="D13" s="30" t="n">
        <f aca="false">IFERROR(INDEX(LIST!$G$2:$G$131,MATCH(D12,LIST!$B$2:$B$131,0)),0)</f>
        <v>0.0315</v>
      </c>
      <c r="E13" s="31" t="n">
        <f aca="false">IFERROR(INDEX(LIST!$G$2:$G$131,MATCH(E12,LIST!$B$2:$B$131,0)),0)</f>
        <v>0.116666666666667</v>
      </c>
      <c r="F13" s="2"/>
    </row>
    <row r="14" customFormat="false" ht="15" hidden="false" customHeight="false" outlineLevel="0" collapsed="false">
      <c r="A14" s="2"/>
      <c r="B14" s="25" t="s">
        <v>197</v>
      </c>
      <c r="C14" s="26" t="n">
        <v>1</v>
      </c>
      <c r="D14" s="27" t="n">
        <v>2</v>
      </c>
      <c r="E14" s="28" t="n">
        <v>3</v>
      </c>
      <c r="F14" s="2"/>
    </row>
    <row r="15" customFormat="false" ht="15" hidden="false" customHeight="false" outlineLevel="0" collapsed="false">
      <c r="A15" s="2"/>
      <c r="B15" s="25" t="s">
        <v>198</v>
      </c>
      <c r="C15" s="29" t="n">
        <f aca="false">C14*IFERROR(INDEX(LIST!$G$2:$G$131,MATCH("SPOON",LIST!$B$2:$B$131,0)),0)</f>
        <v>0.0064</v>
      </c>
      <c r="D15" s="30" t="n">
        <f aca="false">D14*IFERROR(INDEX(LIST!$G$2:$G$131,MATCH("SPOON",LIST!$B$2:$B$131,0)),0)</f>
        <v>0.0128</v>
      </c>
      <c r="E15" s="31" t="n">
        <f aca="false">E14*IFERROR(INDEX(LIST!$G$2:$G$131,MATCH("SPOON",LIST!$B$2:$B$131,0)),0)</f>
        <v>0.0192</v>
      </c>
      <c r="F15" s="2"/>
    </row>
    <row r="16" customFormat="false" ht="15" hidden="false" customHeight="false" outlineLevel="0" collapsed="false">
      <c r="A16" s="2"/>
      <c r="B16" s="25" t="s">
        <v>199</v>
      </c>
      <c r="C16" s="26" t="n">
        <v>1</v>
      </c>
      <c r="D16" s="27" t="n">
        <v>2</v>
      </c>
      <c r="E16" s="28" t="n">
        <v>4</v>
      </c>
      <c r="F16" s="2"/>
    </row>
    <row r="17" customFormat="false" ht="15" hidden="false" customHeight="false" outlineLevel="0" collapsed="false">
      <c r="A17" s="2"/>
      <c r="B17" s="25" t="s">
        <v>200</v>
      </c>
      <c r="C17" s="29" t="n">
        <f aca="false">C16*IFERROR(INDEX(LIST!$G$2:$G$131,MATCH("Bread",LIST!$B$2:$B$131,0)),0)</f>
        <v>0.012</v>
      </c>
      <c r="D17" s="30" t="n">
        <f aca="false">D16*IFERROR(INDEX(LIST!$G$2:$G$131,MATCH("Bread",LIST!$B$2:$B$131,0)),0)</f>
        <v>0.024</v>
      </c>
      <c r="E17" s="31" t="n">
        <f aca="false">E16*IFERROR(INDEX(LIST!$G$2:$G$131,MATCH("Bread",LIST!$B$2:$B$131,0)),0)</f>
        <v>0.048</v>
      </c>
      <c r="F17" s="2"/>
    </row>
    <row r="18" customFormat="false" ht="15" hidden="false" customHeight="false" outlineLevel="0" collapsed="false">
      <c r="A18" s="2"/>
      <c r="B18" s="25" t="s">
        <v>201</v>
      </c>
      <c r="C18" s="32" t="s">
        <v>183</v>
      </c>
      <c r="D18" s="33" t="s">
        <v>184</v>
      </c>
      <c r="E18" s="34" t="s">
        <v>185</v>
      </c>
      <c r="F18" s="2"/>
    </row>
    <row r="19" customFormat="false" ht="15" hidden="false" customHeight="false" outlineLevel="0" collapsed="false">
      <c r="A19" s="2"/>
      <c r="B19" s="25" t="s">
        <v>202</v>
      </c>
      <c r="C19" s="29" t="n">
        <f aca="false">IFERROR(INDEX(LIST!$G$2:$G$131,MATCH(C18,LIST!$B$2:$B$131,0)),0)</f>
        <v>0.02</v>
      </c>
      <c r="D19" s="30" t="n">
        <f aca="false">IFERROR(INDEX(LIST!$G$2:$G$131,MATCH(D18,LIST!$B$2:$B$131,0)),0)</f>
        <v>0.03</v>
      </c>
      <c r="E19" s="31" t="n">
        <f aca="false">IFERROR(INDEX(LIST!$G$2:$G$131,MATCH(E18,LIST!$B$2:$B$131,0)),0)</f>
        <v>0.04</v>
      </c>
      <c r="F19" s="2"/>
    </row>
    <row r="20" customFormat="false" ht="15" hidden="false" customHeight="false" outlineLevel="0" collapsed="false">
      <c r="A20" s="2"/>
      <c r="B20" s="25" t="s">
        <v>203</v>
      </c>
      <c r="C20" s="35" t="n">
        <v>0</v>
      </c>
      <c r="D20" s="36" t="n">
        <v>0</v>
      </c>
      <c r="E20" s="37" t="n">
        <v>0</v>
      </c>
      <c r="F20" s="2"/>
    </row>
    <row r="21" customFormat="false" ht="15" hidden="false" customHeight="false" outlineLevel="0" collapsed="false">
      <c r="A21" s="2"/>
      <c r="B21" s="25" t="s">
        <v>204</v>
      </c>
      <c r="C21" s="29" t="n">
        <f aca="false">C13+C15+C17+C19+C20</f>
        <v>0.0594</v>
      </c>
      <c r="D21" s="30" t="n">
        <f aca="false">D13+D15+D17+D19+D20</f>
        <v>0.0983</v>
      </c>
      <c r="E21" s="31" t="n">
        <f aca="false">E13+E15+E17+E19+E20</f>
        <v>0.223866666666667</v>
      </c>
      <c r="F21" s="2"/>
    </row>
    <row r="22" customFormat="false" ht="15" hidden="false" customHeight="false" outlineLevel="0" collapsed="false">
      <c r="A22" s="2"/>
      <c r="B22" s="4" t="s">
        <v>205</v>
      </c>
      <c r="C22" s="38" t="n">
        <f aca="false">C11+C21</f>
        <v>0.21722</v>
      </c>
      <c r="D22" s="39" t="n">
        <f aca="false">D11+D21</f>
        <v>0.41394</v>
      </c>
      <c r="E22" s="40" t="n">
        <f aca="false">E11+E21</f>
        <v>0.855146666666667</v>
      </c>
      <c r="F22" s="2"/>
    </row>
    <row r="23" customFormat="false" ht="15" hidden="false" customHeight="false" outlineLevel="0" collapsed="false">
      <c r="A23" s="2"/>
      <c r="B23" s="25" t="s">
        <v>9</v>
      </c>
      <c r="C23" s="35" t="n">
        <v>0.9</v>
      </c>
      <c r="D23" s="36" t="n">
        <v>1.7</v>
      </c>
      <c r="E23" s="37" t="n">
        <v>3.3</v>
      </c>
      <c r="F23" s="2"/>
    </row>
    <row r="24" customFormat="false" ht="15" hidden="false" customHeight="false" outlineLevel="0" collapsed="false">
      <c r="A24" s="2"/>
      <c r="B24" s="4" t="s">
        <v>206</v>
      </c>
      <c r="C24" s="41" t="n">
        <f aca="false">IF(C23=0,"",C22/C23)</f>
        <v>0.241355555555556</v>
      </c>
      <c r="D24" s="42" t="n">
        <f aca="false">IF(D23=0,"",D22/D23)</f>
        <v>0.243494117647059</v>
      </c>
      <c r="E24" s="43" t="n">
        <f aca="false">IF(E23=0,"",E22/E23)</f>
        <v>0.259135353535354</v>
      </c>
      <c r="F24" s="2"/>
    </row>
    <row r="25" customFormat="false" ht="15" hidden="false" customHeight="false" outlineLevel="0" collapsed="false">
      <c r="A25" s="2"/>
      <c r="B25" s="25" t="s">
        <v>11</v>
      </c>
      <c r="C25" s="35" t="n">
        <v>1.2</v>
      </c>
      <c r="D25" s="36" t="n">
        <v>2.2</v>
      </c>
      <c r="E25" s="37" t="n">
        <v>3.8</v>
      </c>
      <c r="F25" s="2"/>
    </row>
    <row r="26" customFormat="false" ht="15" hidden="false" customHeight="false" outlineLevel="0" collapsed="false">
      <c r="A26" s="2"/>
      <c r="B26" s="4" t="s">
        <v>207</v>
      </c>
      <c r="C26" s="41" t="n">
        <f aca="false">IF(N(C25)=0,"",C22/C25)</f>
        <v>0.181016666666667</v>
      </c>
      <c r="D26" s="42" t="n">
        <f aca="false">IF(N(D25)=0,"",D22/D25)</f>
        <v>0.188154545454545</v>
      </c>
      <c r="E26" s="43" t="n">
        <f aca="false">IF(N(E25)=0,"",E22/E25)</f>
        <v>0.225038596491228</v>
      </c>
      <c r="F26" s="2"/>
    </row>
    <row r="27" customFormat="false" ht="15" hidden="false" customHeight="false" outlineLevel="0" collapsed="false">
      <c r="A27" s="2"/>
      <c r="B27" s="25" t="s">
        <v>208</v>
      </c>
      <c r="C27" s="29" t="n">
        <f aca="false">C23-C22</f>
        <v>0.68278</v>
      </c>
      <c r="D27" s="30" t="n">
        <f aca="false">D23-D22</f>
        <v>1.28606</v>
      </c>
      <c r="E27" s="31" t="n">
        <f aca="false">E23-E22</f>
        <v>2.44485333333333</v>
      </c>
      <c r="F27" s="2"/>
    </row>
    <row r="28" customFormat="false" ht="15" hidden="false" customHeight="false" outlineLevel="0" collapsed="false">
      <c r="A28" s="2"/>
      <c r="B28" s="25" t="s">
        <v>209</v>
      </c>
      <c r="C28" s="29" t="n">
        <f aca="false">IF(N(C25)=0,"",C25-C22)</f>
        <v>0.98278</v>
      </c>
      <c r="D28" s="30" t="n">
        <f aca="false">IF(N(D25)=0,"",D25-D22)</f>
        <v>1.78606</v>
      </c>
      <c r="E28" s="31" t="n">
        <f aca="false">IF(N(E25)=0,"",E25-E22)</f>
        <v>2.94485333333333</v>
      </c>
      <c r="F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132</v>
      </c>
      <c r="C5" s="17" t="n">
        <v>4</v>
      </c>
      <c r="D5" s="2" t="str">
        <f aca="false">IFERROR(INDEX(LIST!$F$2:$F$131,MATCH(B5,LIST!$B$2:$B$131,0)),"")</f>
        <v>pc</v>
      </c>
      <c r="E5" s="18" t="n">
        <f aca="false">IFERROR(INDEX(LIST!$G$2:$G$131,MATCH(B5,LIST!$B$2:$B$131,0)),0)</f>
        <v>0.035</v>
      </c>
      <c r="F5" s="20" t="n">
        <f aca="false">C5*E5</f>
        <v>0.14</v>
      </c>
    </row>
    <row r="6" customFormat="false" ht="15" hidden="false" customHeight="false" outlineLevel="0" collapsed="false">
      <c r="A6" s="2" t="n">
        <v>2</v>
      </c>
      <c r="B6" s="2" t="s">
        <v>150</v>
      </c>
      <c r="C6" s="17" t="n">
        <v>30</v>
      </c>
      <c r="D6" s="2" t="str">
        <f aca="false">IFERROR(INDEX(LIST!$F$2:$F$131,MATCH(B6,LIST!$B$2:$B$131,0)),"")</f>
        <v>ml</v>
      </c>
      <c r="E6" s="18" t="n">
        <f aca="false">IFERROR(INDEX(LIST!$G$2:$G$131,MATCH(B6,LIST!$B$2:$B$131,0)),0)</f>
        <v>0.000594</v>
      </c>
      <c r="F6" s="20" t="n">
        <f aca="false">C6*E6</f>
        <v>0.01782</v>
      </c>
    </row>
    <row r="7" customFormat="false" ht="15" hidden="false" customHeight="false" outlineLevel="0" collapsed="false">
      <c r="A7" s="2"/>
      <c r="B7" s="4" t="s">
        <v>191</v>
      </c>
      <c r="C7" s="2"/>
      <c r="D7" s="2"/>
      <c r="E7" s="2"/>
      <c r="F7" s="21" t="n">
        <f aca="false">SUM(F5:F6)</f>
        <v>0.15782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2"/>
      <c r="B9" s="4" t="s">
        <v>192</v>
      </c>
      <c r="C9" s="22" t="s">
        <v>5</v>
      </c>
      <c r="D9" s="23" t="s">
        <v>6</v>
      </c>
      <c r="E9" s="24" t="s">
        <v>7</v>
      </c>
      <c r="F9" s="2"/>
    </row>
    <row r="10" customFormat="false" ht="15" hidden="false" customHeight="false" outlineLevel="0" collapsed="false">
      <c r="A10" s="2"/>
      <c r="B10" s="25" t="s">
        <v>193</v>
      </c>
      <c r="C10" s="26" t="n">
        <v>1</v>
      </c>
      <c r="D10" s="27" t="n">
        <v>2</v>
      </c>
      <c r="E10" s="28" t="n">
        <v>4</v>
      </c>
      <c r="F10" s="2"/>
    </row>
    <row r="11" customFormat="false" ht="15" hidden="false" customHeight="false" outlineLevel="0" collapsed="false">
      <c r="A11" s="2"/>
      <c r="B11" s="25" t="s">
        <v>194</v>
      </c>
      <c r="C11" s="29" t="n">
        <f aca="false">$F$7*C10</f>
        <v>0.15782</v>
      </c>
      <c r="D11" s="30" t="n">
        <f aca="false">$F$7*D10</f>
        <v>0.31564</v>
      </c>
      <c r="E11" s="31" t="n">
        <f aca="false">$F$7*E10</f>
        <v>0.63128</v>
      </c>
      <c r="F11" s="2"/>
    </row>
    <row r="12" customFormat="false" ht="15" hidden="false" customHeight="false" outlineLevel="0" collapsed="false">
      <c r="A12" s="2"/>
      <c r="B12" s="25" t="s">
        <v>195</v>
      </c>
      <c r="C12" s="32" t="s">
        <v>176</v>
      </c>
      <c r="D12" s="33" t="s">
        <v>177</v>
      </c>
      <c r="E12" s="34" t="s">
        <v>178</v>
      </c>
      <c r="F12" s="2"/>
    </row>
    <row r="13" customFormat="false" ht="15" hidden="false" customHeight="false" outlineLevel="0" collapsed="false">
      <c r="A13" s="2"/>
      <c r="B13" s="25" t="s">
        <v>196</v>
      </c>
      <c r="C13" s="29" t="n">
        <f aca="false">IFERROR(INDEX(LIST!$G$2:$G$131,MATCH(C12,LIST!$B$2:$B$131,0)),0)</f>
        <v>0.021</v>
      </c>
      <c r="D13" s="30" t="n">
        <f aca="false">IFERROR(INDEX(LIST!$G$2:$G$131,MATCH(D12,LIST!$B$2:$B$131,0)),0)</f>
        <v>0.0315</v>
      </c>
      <c r="E13" s="31" t="n">
        <f aca="false">IFERROR(INDEX(LIST!$G$2:$G$131,MATCH(E12,LIST!$B$2:$B$131,0)),0)</f>
        <v>0.116666666666667</v>
      </c>
      <c r="F13" s="2"/>
    </row>
    <row r="14" customFormat="false" ht="15" hidden="false" customHeight="false" outlineLevel="0" collapsed="false">
      <c r="A14" s="2"/>
      <c r="B14" s="25" t="s">
        <v>197</v>
      </c>
      <c r="C14" s="26" t="n">
        <v>1</v>
      </c>
      <c r="D14" s="27" t="n">
        <v>2</v>
      </c>
      <c r="E14" s="28" t="n">
        <v>3</v>
      </c>
      <c r="F14" s="2"/>
    </row>
    <row r="15" customFormat="false" ht="15" hidden="false" customHeight="false" outlineLevel="0" collapsed="false">
      <c r="A15" s="2"/>
      <c r="B15" s="25" t="s">
        <v>198</v>
      </c>
      <c r="C15" s="29" t="n">
        <f aca="false">C14*IFERROR(INDEX(LIST!$G$2:$G$131,MATCH("SPOON",LIST!$B$2:$B$131,0)),0)</f>
        <v>0.0064</v>
      </c>
      <c r="D15" s="30" t="n">
        <f aca="false">D14*IFERROR(INDEX(LIST!$G$2:$G$131,MATCH("SPOON",LIST!$B$2:$B$131,0)),0)</f>
        <v>0.0128</v>
      </c>
      <c r="E15" s="31" t="n">
        <f aca="false">E14*IFERROR(INDEX(LIST!$G$2:$G$131,MATCH("SPOON",LIST!$B$2:$B$131,0)),0)</f>
        <v>0.0192</v>
      </c>
      <c r="F15" s="2"/>
    </row>
    <row r="16" customFormat="false" ht="15" hidden="false" customHeight="false" outlineLevel="0" collapsed="false">
      <c r="A16" s="2"/>
      <c r="B16" s="25" t="s">
        <v>199</v>
      </c>
      <c r="C16" s="26" t="n">
        <v>1</v>
      </c>
      <c r="D16" s="27" t="n">
        <v>2</v>
      </c>
      <c r="E16" s="28" t="n">
        <v>4</v>
      </c>
      <c r="F16" s="2"/>
    </row>
    <row r="17" customFormat="false" ht="15" hidden="false" customHeight="false" outlineLevel="0" collapsed="false">
      <c r="A17" s="2"/>
      <c r="B17" s="25" t="s">
        <v>200</v>
      </c>
      <c r="C17" s="29" t="n">
        <f aca="false">C16*IFERROR(INDEX(LIST!$G$2:$G$131,MATCH("Bread",LIST!$B$2:$B$131,0)),0)</f>
        <v>0.012</v>
      </c>
      <c r="D17" s="30" t="n">
        <f aca="false">D16*IFERROR(INDEX(LIST!$G$2:$G$131,MATCH("Bread",LIST!$B$2:$B$131,0)),0)</f>
        <v>0.024</v>
      </c>
      <c r="E17" s="31" t="n">
        <f aca="false">E16*IFERROR(INDEX(LIST!$G$2:$G$131,MATCH("Bread",LIST!$B$2:$B$131,0)),0)</f>
        <v>0.048</v>
      </c>
      <c r="F17" s="2"/>
    </row>
    <row r="18" customFormat="false" ht="15" hidden="false" customHeight="false" outlineLevel="0" collapsed="false">
      <c r="A18" s="2"/>
      <c r="B18" s="25" t="s">
        <v>201</v>
      </c>
      <c r="C18" s="32" t="s">
        <v>183</v>
      </c>
      <c r="D18" s="33" t="s">
        <v>184</v>
      </c>
      <c r="E18" s="34" t="s">
        <v>185</v>
      </c>
      <c r="F18" s="2"/>
    </row>
    <row r="19" customFormat="false" ht="15" hidden="false" customHeight="false" outlineLevel="0" collapsed="false">
      <c r="A19" s="2"/>
      <c r="B19" s="25" t="s">
        <v>202</v>
      </c>
      <c r="C19" s="29" t="n">
        <f aca="false">IFERROR(INDEX(LIST!$G$2:$G$131,MATCH(C18,LIST!$B$2:$B$131,0)),0)</f>
        <v>0.02</v>
      </c>
      <c r="D19" s="30" t="n">
        <f aca="false">IFERROR(INDEX(LIST!$G$2:$G$131,MATCH(D18,LIST!$B$2:$B$131,0)),0)</f>
        <v>0.03</v>
      </c>
      <c r="E19" s="31" t="n">
        <f aca="false">IFERROR(INDEX(LIST!$G$2:$G$131,MATCH(E18,LIST!$B$2:$B$131,0)),0)</f>
        <v>0.04</v>
      </c>
      <c r="F19" s="2"/>
    </row>
    <row r="20" customFormat="false" ht="15" hidden="false" customHeight="false" outlineLevel="0" collapsed="false">
      <c r="A20" s="2"/>
      <c r="B20" s="25" t="s">
        <v>203</v>
      </c>
      <c r="C20" s="35" t="n">
        <v>0</v>
      </c>
      <c r="D20" s="36" t="n">
        <v>0</v>
      </c>
      <c r="E20" s="37" t="n">
        <v>0</v>
      </c>
      <c r="F20" s="2"/>
    </row>
    <row r="21" customFormat="false" ht="15" hidden="false" customHeight="false" outlineLevel="0" collapsed="false">
      <c r="A21" s="2"/>
      <c r="B21" s="25" t="s">
        <v>204</v>
      </c>
      <c r="C21" s="29" t="n">
        <f aca="false">C13+C15+C17+C19+C20</f>
        <v>0.0594</v>
      </c>
      <c r="D21" s="30" t="n">
        <f aca="false">D13+D15+D17+D19+D20</f>
        <v>0.0983</v>
      </c>
      <c r="E21" s="31" t="n">
        <f aca="false">E13+E15+E17+E19+E20</f>
        <v>0.223866666666667</v>
      </c>
      <c r="F21" s="2"/>
    </row>
    <row r="22" customFormat="false" ht="15" hidden="false" customHeight="false" outlineLevel="0" collapsed="false">
      <c r="A22" s="2"/>
      <c r="B22" s="4" t="s">
        <v>205</v>
      </c>
      <c r="C22" s="38" t="n">
        <f aca="false">C11+C21</f>
        <v>0.21722</v>
      </c>
      <c r="D22" s="39" t="n">
        <f aca="false">D11+D21</f>
        <v>0.41394</v>
      </c>
      <c r="E22" s="40" t="n">
        <f aca="false">E11+E21</f>
        <v>0.855146666666667</v>
      </c>
      <c r="F22" s="2"/>
    </row>
    <row r="23" customFormat="false" ht="15" hidden="false" customHeight="false" outlineLevel="0" collapsed="false">
      <c r="A23" s="2"/>
      <c r="B23" s="25" t="s">
        <v>9</v>
      </c>
      <c r="C23" s="35" t="n">
        <v>0.9</v>
      </c>
      <c r="D23" s="36" t="n">
        <v>1.7</v>
      </c>
      <c r="E23" s="37" t="n">
        <v>3.3</v>
      </c>
      <c r="F23" s="2"/>
    </row>
    <row r="24" customFormat="false" ht="15" hidden="false" customHeight="false" outlineLevel="0" collapsed="false">
      <c r="A24" s="2"/>
      <c r="B24" s="4" t="s">
        <v>206</v>
      </c>
      <c r="C24" s="41" t="n">
        <f aca="false">IF(C23=0,"",C22/C23)</f>
        <v>0.241355555555556</v>
      </c>
      <c r="D24" s="42" t="n">
        <f aca="false">IF(D23=0,"",D22/D23)</f>
        <v>0.243494117647059</v>
      </c>
      <c r="E24" s="43" t="n">
        <f aca="false">IF(E23=0,"",E22/E23)</f>
        <v>0.259135353535354</v>
      </c>
      <c r="F24" s="2"/>
    </row>
    <row r="25" customFormat="false" ht="15" hidden="false" customHeight="false" outlineLevel="0" collapsed="false">
      <c r="A25" s="2"/>
      <c r="B25" s="25" t="s">
        <v>11</v>
      </c>
      <c r="C25" s="35" t="n">
        <v>1.2</v>
      </c>
      <c r="D25" s="36" t="n">
        <v>2.2</v>
      </c>
      <c r="E25" s="37" t="n">
        <v>3.8</v>
      </c>
      <c r="F25" s="2"/>
    </row>
    <row r="26" customFormat="false" ht="15" hidden="false" customHeight="false" outlineLevel="0" collapsed="false">
      <c r="A26" s="2"/>
      <c r="B26" s="4" t="s">
        <v>207</v>
      </c>
      <c r="C26" s="41" t="n">
        <f aca="false">IF(N(C25)=0,"",C22/C25)</f>
        <v>0.181016666666667</v>
      </c>
      <c r="D26" s="42" t="n">
        <f aca="false">IF(N(D25)=0,"",D22/D25)</f>
        <v>0.188154545454545</v>
      </c>
      <c r="E26" s="43" t="n">
        <f aca="false">IF(N(E25)=0,"",E22/E25)</f>
        <v>0.225038596491228</v>
      </c>
      <c r="F26" s="2"/>
    </row>
    <row r="27" customFormat="false" ht="15" hidden="false" customHeight="false" outlineLevel="0" collapsed="false">
      <c r="A27" s="2"/>
      <c r="B27" s="25" t="s">
        <v>208</v>
      </c>
      <c r="C27" s="29" t="n">
        <f aca="false">C23-C22</f>
        <v>0.68278</v>
      </c>
      <c r="D27" s="30" t="n">
        <f aca="false">D23-D22</f>
        <v>1.28606</v>
      </c>
      <c r="E27" s="31" t="n">
        <f aca="false">E23-E22</f>
        <v>2.44485333333333</v>
      </c>
      <c r="F27" s="2"/>
    </row>
    <row r="28" customFormat="false" ht="15" hidden="false" customHeight="false" outlineLevel="0" collapsed="false">
      <c r="A28" s="2"/>
      <c r="B28" s="25" t="s">
        <v>209</v>
      </c>
      <c r="C28" s="29" t="n">
        <f aca="false">IF(N(C25)=0,"",C25-C22)</f>
        <v>0.98278</v>
      </c>
      <c r="D28" s="30" t="n">
        <f aca="false">IF(N(D25)=0,"",D25-D22)</f>
        <v>1.78606</v>
      </c>
      <c r="E28" s="31" t="n">
        <f aca="false">IF(N(E25)=0,"",E25-E22)</f>
        <v>2.94485333333333</v>
      </c>
      <c r="F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138</v>
      </c>
      <c r="C5" s="17" t="n">
        <v>190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0.000947368421052632</v>
      </c>
      <c r="F5" s="20" t="n">
        <f aca="false">C5*E5</f>
        <v>0.18</v>
      </c>
    </row>
    <row r="6" customFormat="false" ht="15" hidden="false" customHeight="false" outlineLevel="0" collapsed="false">
      <c r="A6" s="2" t="n">
        <v>2</v>
      </c>
      <c r="B6" s="2" t="s">
        <v>132</v>
      </c>
      <c r="C6" s="17" t="n">
        <v>2</v>
      </c>
      <c r="D6" s="2" t="str">
        <f aca="false">IFERROR(INDEX(LIST!$F$2:$F$131,MATCH(B6,LIST!$B$2:$B$131,0)),"")</f>
        <v>pc</v>
      </c>
      <c r="E6" s="18" t="n">
        <f aca="false">IFERROR(INDEX(LIST!$G$2:$G$131,MATCH(B6,LIST!$B$2:$B$131,0)),0)</f>
        <v>0.035</v>
      </c>
      <c r="F6" s="20" t="n">
        <f aca="false">C6*E6</f>
        <v>0.07</v>
      </c>
    </row>
    <row r="7" customFormat="false" ht="15" hidden="false" customHeight="false" outlineLevel="0" collapsed="false">
      <c r="A7" s="2" t="n">
        <v>3</v>
      </c>
      <c r="B7" s="2" t="s">
        <v>167</v>
      </c>
      <c r="C7" s="17" t="n">
        <v>10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0.00217647058823529</v>
      </c>
      <c r="F7" s="20" t="n">
        <f aca="false">C7*E7</f>
        <v>0.0217647058823529</v>
      </c>
    </row>
    <row r="8" customFormat="false" ht="15" hidden="false" customHeight="false" outlineLevel="0" collapsed="false">
      <c r="A8" s="2" t="n">
        <v>4</v>
      </c>
      <c r="B8" s="2" t="s">
        <v>161</v>
      </c>
      <c r="C8" s="17" t="n">
        <v>15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0.0009696</v>
      </c>
      <c r="F8" s="20" t="n">
        <f aca="false">C8*E8</f>
        <v>0.014544</v>
      </c>
    </row>
    <row r="9" customFormat="false" ht="15" hidden="false" customHeight="false" outlineLevel="0" collapsed="false">
      <c r="A9" s="2" t="n">
        <v>5</v>
      </c>
      <c r="B9" s="2" t="s">
        <v>150</v>
      </c>
      <c r="C9" s="17" t="n">
        <v>30</v>
      </c>
      <c r="D9" s="2" t="str">
        <f aca="false">IFERROR(INDEX(LIST!$F$2:$F$131,MATCH(B9,LIST!$B$2:$B$131,0)),"")</f>
        <v>ml</v>
      </c>
      <c r="E9" s="18" t="n">
        <f aca="false">IFERROR(INDEX(LIST!$G$2:$G$131,MATCH(B9,LIST!$B$2:$B$131,0)),0)</f>
        <v>0.000594</v>
      </c>
      <c r="F9" s="20" t="n">
        <f aca="false">C9*E9</f>
        <v>0.01782</v>
      </c>
    </row>
    <row r="10" customFormat="false" ht="15" hidden="false" customHeight="false" outlineLevel="0" collapsed="false">
      <c r="A10" s="2" t="n">
        <v>6</v>
      </c>
      <c r="B10" s="2" t="s">
        <v>76</v>
      </c>
      <c r="C10" s="17" t="n">
        <v>60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0.00045</v>
      </c>
      <c r="F10" s="20" t="n">
        <f aca="false">C10*E10</f>
        <v>0.027</v>
      </c>
    </row>
    <row r="11" customFormat="false" ht="15" hidden="false" customHeight="false" outlineLevel="0" collapsed="false">
      <c r="A11" s="2" t="n">
        <v>7</v>
      </c>
      <c r="B11" s="2" t="s">
        <v>81</v>
      </c>
      <c r="C11" s="17" t="n">
        <v>120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0.0005</v>
      </c>
      <c r="F11" s="20" t="n">
        <f aca="false">C11*E11</f>
        <v>0.06</v>
      </c>
    </row>
    <row r="12" customFormat="false" ht="15" hidden="false" customHeight="false" outlineLevel="0" collapsed="false">
      <c r="A12" s="2" t="n">
        <v>8</v>
      </c>
      <c r="B12" s="2" t="s">
        <v>59</v>
      </c>
      <c r="C12" s="17" t="n">
        <v>1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0.00172727272727273</v>
      </c>
      <c r="F12" s="20" t="n">
        <f aca="false">C12*E12</f>
        <v>0.00172727272727273</v>
      </c>
    </row>
    <row r="13" customFormat="false" ht="15" hidden="false" customHeight="false" outlineLevel="0" collapsed="false">
      <c r="A13" s="2" t="n">
        <v>9</v>
      </c>
      <c r="B13" s="2" t="s">
        <v>68</v>
      </c>
      <c r="C13" s="17" t="n">
        <v>10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0.00065</v>
      </c>
      <c r="F13" s="20" t="n">
        <f aca="false">C13*E13</f>
        <v>0.0065</v>
      </c>
    </row>
    <row r="14" customFormat="false" ht="15" hidden="false" customHeight="false" outlineLevel="0" collapsed="false">
      <c r="A14" s="2" t="n">
        <v>10</v>
      </c>
      <c r="B14" s="2" t="s">
        <v>108</v>
      </c>
      <c r="C14" s="17" t="n">
        <v>1.25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0.00165</v>
      </c>
      <c r="F14" s="20" t="n">
        <f aca="false">C14*E14</f>
        <v>0.0020625</v>
      </c>
    </row>
    <row r="15" customFormat="false" ht="15" hidden="false" customHeight="false" outlineLevel="0" collapsed="false">
      <c r="A15" s="2" t="n">
        <v>11</v>
      </c>
      <c r="B15" s="2" t="s">
        <v>117</v>
      </c>
      <c r="C15" s="17" t="n">
        <v>1.25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0.0018</v>
      </c>
      <c r="F15" s="20" t="n">
        <f aca="false">C15*E15</f>
        <v>0.00225</v>
      </c>
    </row>
    <row r="16" customFormat="false" ht="15" hidden="false" customHeight="false" outlineLevel="0" collapsed="false">
      <c r="A16" s="2" t="n">
        <v>12</v>
      </c>
      <c r="B16" s="2" t="s">
        <v>102</v>
      </c>
      <c r="C16" s="17" t="n">
        <v>1.25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0.002818</v>
      </c>
      <c r="F16" s="20" t="n">
        <f aca="false">C16*E16</f>
        <v>0.0035225</v>
      </c>
    </row>
    <row r="17" customFormat="false" ht="15" hidden="false" customHeight="false" outlineLevel="0" collapsed="false">
      <c r="A17" s="2" t="n">
        <v>13</v>
      </c>
      <c r="B17" s="2" t="s">
        <v>118</v>
      </c>
      <c r="C17" s="17" t="n">
        <v>2.5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0.004</v>
      </c>
      <c r="F17" s="20" t="n">
        <f aca="false">C17*E17</f>
        <v>0.01</v>
      </c>
    </row>
    <row r="18" customFormat="false" ht="15" hidden="false" customHeight="false" outlineLevel="0" collapsed="false">
      <c r="A18" s="2" t="n">
        <v>14</v>
      </c>
      <c r="B18" s="2" t="s">
        <v>100</v>
      </c>
      <c r="C18" s="17" t="n">
        <v>1.25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0.00165</v>
      </c>
      <c r="F18" s="20" t="n">
        <f aca="false">C18*E18</f>
        <v>0.0020625</v>
      </c>
    </row>
    <row r="19" customFormat="false" ht="15" hidden="false" customHeight="false" outlineLevel="0" collapsed="false">
      <c r="A19" s="2" t="n">
        <v>15</v>
      </c>
      <c r="B19" s="2" t="s">
        <v>115</v>
      </c>
      <c r="C19" s="17" t="n">
        <v>2.5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0.000165</v>
      </c>
      <c r="F19" s="20" t="n">
        <f aca="false">C19*E19</f>
        <v>0.0004125</v>
      </c>
    </row>
    <row r="20" customFormat="false" ht="15" hidden="false" customHeight="false" outlineLevel="0" collapsed="false">
      <c r="A20" s="2"/>
      <c r="B20" s="4" t="s">
        <v>191</v>
      </c>
      <c r="C20" s="2"/>
      <c r="D20" s="2"/>
      <c r="E20" s="2"/>
      <c r="F20" s="21" t="n">
        <f aca="false">SUM(F5:F19)</f>
        <v>0.419665978609626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4" t="s">
        <v>192</v>
      </c>
      <c r="C22" s="22" t="s">
        <v>5</v>
      </c>
      <c r="D22" s="23" t="s">
        <v>6</v>
      </c>
      <c r="E22" s="24" t="s">
        <v>7</v>
      </c>
      <c r="F22" s="2"/>
    </row>
    <row r="23" customFormat="false" ht="15" hidden="false" customHeight="false" outlineLevel="0" collapsed="false">
      <c r="A23" s="2"/>
      <c r="B23" s="25" t="s">
        <v>193</v>
      </c>
      <c r="C23" s="26" t="n">
        <v>1</v>
      </c>
      <c r="D23" s="27" t="n">
        <v>2</v>
      </c>
      <c r="E23" s="28" t="n">
        <v>4</v>
      </c>
      <c r="F23" s="2"/>
    </row>
    <row r="24" customFormat="false" ht="15" hidden="false" customHeight="false" outlineLevel="0" collapsed="false">
      <c r="A24" s="2"/>
      <c r="B24" s="25" t="s">
        <v>194</v>
      </c>
      <c r="C24" s="29" t="n">
        <f aca="false">$F$20*C23</f>
        <v>0.419665978609626</v>
      </c>
      <c r="D24" s="30" t="n">
        <f aca="false">$F$20*D23</f>
        <v>0.839331957219251</v>
      </c>
      <c r="E24" s="31" t="n">
        <f aca="false">$F$20*E23</f>
        <v>1.6786639144385</v>
      </c>
      <c r="F24" s="2"/>
    </row>
    <row r="25" customFormat="false" ht="15" hidden="false" customHeight="false" outlineLevel="0" collapsed="false">
      <c r="A25" s="2"/>
      <c r="B25" s="25" t="s">
        <v>195</v>
      </c>
      <c r="C25" s="32" t="s">
        <v>176</v>
      </c>
      <c r="D25" s="33" t="s">
        <v>177</v>
      </c>
      <c r="E25" s="34" t="s">
        <v>178</v>
      </c>
      <c r="F25" s="2"/>
    </row>
    <row r="26" customFormat="false" ht="15" hidden="false" customHeight="false" outlineLevel="0" collapsed="false">
      <c r="A26" s="2"/>
      <c r="B26" s="25" t="s">
        <v>196</v>
      </c>
      <c r="C26" s="29" t="n">
        <f aca="false">IFERROR(INDEX(LIST!$G$2:$G$131,MATCH(C25,LIST!$B$2:$B$131,0)),0)</f>
        <v>0.021</v>
      </c>
      <c r="D26" s="30" t="n">
        <f aca="false">IFERROR(INDEX(LIST!$G$2:$G$131,MATCH(D25,LIST!$B$2:$B$131,0)),0)</f>
        <v>0.0315</v>
      </c>
      <c r="E26" s="31" t="n">
        <f aca="false">IFERROR(INDEX(LIST!$G$2:$G$131,MATCH(E25,LIST!$B$2:$B$131,0)),0)</f>
        <v>0.116666666666667</v>
      </c>
      <c r="F26" s="2"/>
    </row>
    <row r="27" customFormat="false" ht="15" hidden="false" customHeight="false" outlineLevel="0" collapsed="false">
      <c r="A27" s="2"/>
      <c r="B27" s="25" t="s">
        <v>197</v>
      </c>
      <c r="C27" s="26" t="n">
        <v>1</v>
      </c>
      <c r="D27" s="27" t="n">
        <v>2</v>
      </c>
      <c r="E27" s="28" t="n">
        <v>3</v>
      </c>
      <c r="F27" s="2"/>
    </row>
    <row r="28" customFormat="false" ht="15" hidden="false" customHeight="false" outlineLevel="0" collapsed="false">
      <c r="A28" s="2"/>
      <c r="B28" s="25" t="s">
        <v>198</v>
      </c>
      <c r="C28" s="29" t="n">
        <f aca="false">C27*IFERROR(INDEX(LIST!$G$2:$G$131,MATCH("SPOON",LIST!$B$2:$B$131,0)),0)</f>
        <v>0.0064</v>
      </c>
      <c r="D28" s="30" t="n">
        <f aca="false">D27*IFERROR(INDEX(LIST!$G$2:$G$131,MATCH("SPOON",LIST!$B$2:$B$131,0)),0)</f>
        <v>0.0128</v>
      </c>
      <c r="E28" s="31" t="n">
        <f aca="false">E27*IFERROR(INDEX(LIST!$G$2:$G$131,MATCH("SPOON",LIST!$B$2:$B$131,0)),0)</f>
        <v>0.0192</v>
      </c>
      <c r="F28" s="2"/>
    </row>
    <row r="29" customFormat="false" ht="15" hidden="false" customHeight="false" outlineLevel="0" collapsed="false">
      <c r="A29" s="2"/>
      <c r="B29" s="25" t="s">
        <v>199</v>
      </c>
      <c r="C29" s="26" t="n">
        <v>1</v>
      </c>
      <c r="D29" s="27" t="n">
        <v>2</v>
      </c>
      <c r="E29" s="28" t="n">
        <v>4</v>
      </c>
      <c r="F29" s="2"/>
    </row>
    <row r="30" customFormat="false" ht="15" hidden="false" customHeight="false" outlineLevel="0" collapsed="false">
      <c r="A30" s="2"/>
      <c r="B30" s="25" t="s">
        <v>200</v>
      </c>
      <c r="C30" s="29" t="n">
        <f aca="false">C29*IFERROR(INDEX(LIST!$G$2:$G$131,MATCH("Bread",LIST!$B$2:$B$131,0)),0)</f>
        <v>0.012</v>
      </c>
      <c r="D30" s="30" t="n">
        <f aca="false">D29*IFERROR(INDEX(LIST!$G$2:$G$131,MATCH("Bread",LIST!$B$2:$B$131,0)),0)</f>
        <v>0.024</v>
      </c>
      <c r="E30" s="31" t="n">
        <f aca="false">E29*IFERROR(INDEX(LIST!$G$2:$G$131,MATCH("Bread",LIST!$B$2:$B$131,0)),0)</f>
        <v>0.048</v>
      </c>
      <c r="F30" s="2"/>
    </row>
    <row r="31" customFormat="false" ht="15" hidden="false" customHeight="false" outlineLevel="0" collapsed="false">
      <c r="A31" s="2"/>
      <c r="B31" s="25" t="s">
        <v>201</v>
      </c>
      <c r="C31" s="32" t="s">
        <v>183</v>
      </c>
      <c r="D31" s="33" t="s">
        <v>184</v>
      </c>
      <c r="E31" s="34" t="s">
        <v>185</v>
      </c>
      <c r="F31" s="2"/>
    </row>
    <row r="32" customFormat="false" ht="15" hidden="false" customHeight="false" outlineLevel="0" collapsed="false">
      <c r="A32" s="2"/>
      <c r="B32" s="25" t="s">
        <v>202</v>
      </c>
      <c r="C32" s="29" t="n">
        <f aca="false">IFERROR(INDEX(LIST!$G$2:$G$131,MATCH(C31,LIST!$B$2:$B$131,0)),0)</f>
        <v>0.02</v>
      </c>
      <c r="D32" s="30" t="n">
        <f aca="false">IFERROR(INDEX(LIST!$G$2:$G$131,MATCH(D31,LIST!$B$2:$B$131,0)),0)</f>
        <v>0.03</v>
      </c>
      <c r="E32" s="31" t="n">
        <f aca="false">IFERROR(INDEX(LIST!$G$2:$G$131,MATCH(E31,LIST!$B$2:$B$131,0)),0)</f>
        <v>0.04</v>
      </c>
      <c r="F32" s="2"/>
    </row>
    <row r="33" customFormat="false" ht="15" hidden="false" customHeight="false" outlineLevel="0" collapsed="false">
      <c r="A33" s="2"/>
      <c r="B33" s="25" t="s">
        <v>203</v>
      </c>
      <c r="C33" s="35" t="n">
        <v>0</v>
      </c>
      <c r="D33" s="36" t="n">
        <v>0</v>
      </c>
      <c r="E33" s="37" t="n">
        <v>0</v>
      </c>
      <c r="F33" s="2"/>
    </row>
    <row r="34" customFormat="false" ht="15" hidden="false" customHeight="false" outlineLevel="0" collapsed="false">
      <c r="A34" s="2"/>
      <c r="B34" s="25" t="s">
        <v>204</v>
      </c>
      <c r="C34" s="29" t="n">
        <f aca="false">C26+C28+C30+C32+C33</f>
        <v>0.0594</v>
      </c>
      <c r="D34" s="30" t="n">
        <f aca="false">D26+D28+D30+D32+D33</f>
        <v>0.0983</v>
      </c>
      <c r="E34" s="31" t="n">
        <f aca="false">E26+E28+E30+E32+E33</f>
        <v>0.223866666666667</v>
      </c>
      <c r="F34" s="2"/>
    </row>
    <row r="35" customFormat="false" ht="15" hidden="false" customHeight="false" outlineLevel="0" collapsed="false">
      <c r="A35" s="2"/>
      <c r="B35" s="4" t="s">
        <v>205</v>
      </c>
      <c r="C35" s="38" t="n">
        <f aca="false">C24+C34</f>
        <v>0.479065978609626</v>
      </c>
      <c r="D35" s="39" t="n">
        <f aca="false">D24+D34</f>
        <v>0.937631957219251</v>
      </c>
      <c r="E35" s="40" t="n">
        <f aca="false">E24+E34</f>
        <v>1.90253058110517</v>
      </c>
      <c r="F35" s="2"/>
    </row>
    <row r="36" customFormat="false" ht="15" hidden="false" customHeight="false" outlineLevel="0" collapsed="false">
      <c r="A36" s="2"/>
      <c r="B36" s="25" t="s">
        <v>9</v>
      </c>
      <c r="C36" s="35" t="n">
        <v>1.6</v>
      </c>
      <c r="D36" s="36" t="n">
        <v>3</v>
      </c>
      <c r="E36" s="37" t="n">
        <v>5.6</v>
      </c>
      <c r="F36" s="2"/>
    </row>
    <row r="37" customFormat="false" ht="15" hidden="false" customHeight="false" outlineLevel="0" collapsed="false">
      <c r="A37" s="2"/>
      <c r="B37" s="4" t="s">
        <v>206</v>
      </c>
      <c r="C37" s="41" t="n">
        <f aca="false">IF(C36=0,"",C35/C36)</f>
        <v>0.299416236631016</v>
      </c>
      <c r="D37" s="42" t="n">
        <f aca="false">IF(D36=0,"",D35/D36)</f>
        <v>0.31254398573975</v>
      </c>
      <c r="E37" s="43" t="n">
        <f aca="false">IF(E36=0,"",E35/E36)</f>
        <v>0.33973760376878</v>
      </c>
      <c r="F37" s="2"/>
    </row>
    <row r="38" customFormat="false" ht="15" hidden="false" customHeight="false" outlineLevel="0" collapsed="false">
      <c r="A38" s="2"/>
      <c r="B38" s="25" t="s">
        <v>11</v>
      </c>
      <c r="C38" s="35" t="n">
        <v>2</v>
      </c>
      <c r="D38" s="36" t="n">
        <v>3.6</v>
      </c>
      <c r="E38" s="37" t="n">
        <v>6.8</v>
      </c>
      <c r="F38" s="2"/>
    </row>
    <row r="39" customFormat="false" ht="15" hidden="false" customHeight="false" outlineLevel="0" collapsed="false">
      <c r="A39" s="2"/>
      <c r="B39" s="4" t="s">
        <v>207</v>
      </c>
      <c r="C39" s="41" t="n">
        <f aca="false">IF(N(C38)=0,"",C35/C38)</f>
        <v>0.239532989304813</v>
      </c>
      <c r="D39" s="42" t="n">
        <f aca="false">IF(N(D38)=0,"",D35/D38)</f>
        <v>0.260453321449792</v>
      </c>
      <c r="E39" s="43" t="n">
        <f aca="false">IF(N(E38)=0,"",E35/E38)</f>
        <v>0.279783908986054</v>
      </c>
      <c r="F39" s="2"/>
    </row>
    <row r="40" customFormat="false" ht="15" hidden="false" customHeight="false" outlineLevel="0" collapsed="false">
      <c r="A40" s="2"/>
      <c r="B40" s="25" t="s">
        <v>208</v>
      </c>
      <c r="C40" s="29" t="n">
        <f aca="false">C36-C35</f>
        <v>1.12093402139037</v>
      </c>
      <c r="D40" s="30" t="n">
        <f aca="false">D36-D35</f>
        <v>2.06236804278075</v>
      </c>
      <c r="E40" s="31" t="n">
        <f aca="false">E36-E35</f>
        <v>3.69746941889483</v>
      </c>
      <c r="F40" s="2"/>
    </row>
    <row r="41" customFormat="false" ht="15" hidden="false" customHeight="false" outlineLevel="0" collapsed="false">
      <c r="A41" s="2"/>
      <c r="B41" s="25" t="s">
        <v>209</v>
      </c>
      <c r="C41" s="29" t="n">
        <f aca="false">IF(N(C38)=0,"",C38-C35)</f>
        <v>1.52093402139037</v>
      </c>
      <c r="D41" s="30" t="n">
        <f aca="false">IF(N(D38)=0,"",D38-D35)</f>
        <v>2.66236804278075</v>
      </c>
      <c r="E41" s="31" t="n">
        <f aca="false">IF(N(E38)=0,"",E38-E35)</f>
        <v>4.89746941889483</v>
      </c>
      <c r="F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132</v>
      </c>
      <c r="C5" s="17" t="n">
        <v>2</v>
      </c>
      <c r="D5" s="2" t="str">
        <f aca="false">IFERROR(INDEX(LIST!$F$2:$F$131,MATCH(B5,LIST!$B$2:$B$131,0)),"")</f>
        <v>pc</v>
      </c>
      <c r="E5" s="18" t="n">
        <f aca="false">IFERROR(INDEX(LIST!$G$2:$G$131,MATCH(B5,LIST!$B$2:$B$131,0)),0)</f>
        <v>0.035</v>
      </c>
      <c r="F5" s="20" t="n">
        <f aca="false">C5*E5</f>
        <v>0.07</v>
      </c>
    </row>
    <row r="6" customFormat="false" ht="15" hidden="false" customHeight="false" outlineLevel="0" collapsed="false">
      <c r="A6" s="2" t="n">
        <v>2</v>
      </c>
      <c r="B6" s="2" t="s">
        <v>150</v>
      </c>
      <c r="C6" s="17" t="n">
        <v>30</v>
      </c>
      <c r="D6" s="2" t="str">
        <f aca="false">IFERROR(INDEX(LIST!$F$2:$F$131,MATCH(B6,LIST!$B$2:$B$131,0)),"")</f>
        <v>ml</v>
      </c>
      <c r="E6" s="18" t="n">
        <f aca="false">IFERROR(INDEX(LIST!$G$2:$G$131,MATCH(B6,LIST!$B$2:$B$131,0)),0)</f>
        <v>0.000594</v>
      </c>
      <c r="F6" s="20" t="n">
        <f aca="false">C6*E6</f>
        <v>0.01782</v>
      </c>
    </row>
    <row r="7" customFormat="false" ht="15" hidden="false" customHeight="false" outlineLevel="0" collapsed="false">
      <c r="A7" s="2" t="n">
        <v>3</v>
      </c>
      <c r="B7" s="2" t="s">
        <v>164</v>
      </c>
      <c r="C7" s="17" t="n">
        <v>15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0.0006</v>
      </c>
      <c r="F7" s="20" t="n">
        <f aca="false">C7*E7</f>
        <v>0.009</v>
      </c>
    </row>
    <row r="8" customFormat="false" ht="15" hidden="false" customHeight="false" outlineLevel="0" collapsed="false">
      <c r="A8" s="2" t="n">
        <v>4</v>
      </c>
      <c r="B8" s="2" t="s">
        <v>81</v>
      </c>
      <c r="C8" s="17" t="n">
        <v>240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0.0005</v>
      </c>
      <c r="F8" s="20" t="n">
        <f aca="false">C8*E8</f>
        <v>0.12</v>
      </c>
    </row>
    <row r="9" customFormat="false" ht="15" hidden="false" customHeight="false" outlineLevel="0" collapsed="false">
      <c r="A9" s="2" t="n">
        <v>5</v>
      </c>
      <c r="B9" s="2" t="s">
        <v>108</v>
      </c>
      <c r="C9" s="17" t="n">
        <v>1.25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0.00165</v>
      </c>
      <c r="F9" s="20" t="n">
        <f aca="false">C9*E9</f>
        <v>0.0020625</v>
      </c>
    </row>
    <row r="10" customFormat="false" ht="15" hidden="false" customHeight="false" outlineLevel="0" collapsed="false">
      <c r="A10" s="2" t="n">
        <v>6</v>
      </c>
      <c r="B10" s="2" t="s">
        <v>102</v>
      </c>
      <c r="C10" s="17" t="n">
        <v>1.25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0.002818</v>
      </c>
      <c r="F10" s="20" t="n">
        <f aca="false">C10*E10</f>
        <v>0.0035225</v>
      </c>
    </row>
    <row r="11" customFormat="false" ht="15" hidden="false" customHeight="false" outlineLevel="0" collapsed="false">
      <c r="A11" s="2" t="n">
        <v>7</v>
      </c>
      <c r="B11" s="2" t="s">
        <v>118</v>
      </c>
      <c r="C11" s="17" t="n">
        <v>1.25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0.004</v>
      </c>
      <c r="F11" s="20" t="n">
        <f aca="false">C11*E11</f>
        <v>0.005</v>
      </c>
    </row>
    <row r="12" customFormat="false" ht="15" hidden="false" customHeight="false" outlineLevel="0" collapsed="false">
      <c r="A12" s="2" t="n">
        <v>8</v>
      </c>
      <c r="B12" s="2" t="s">
        <v>96</v>
      </c>
      <c r="C12" s="17" t="n">
        <v>1.25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0.002272</v>
      </c>
      <c r="F12" s="20" t="n">
        <f aca="false">C12*E12</f>
        <v>0.00284</v>
      </c>
    </row>
    <row r="13" customFormat="false" ht="15" hidden="false" customHeight="false" outlineLevel="0" collapsed="false">
      <c r="A13" s="2" t="n">
        <v>9</v>
      </c>
      <c r="B13" s="2" t="s">
        <v>115</v>
      </c>
      <c r="C13" s="17" t="n">
        <v>2.5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0.000165</v>
      </c>
      <c r="F13" s="20" t="n">
        <f aca="false">C13*E13</f>
        <v>0.0004125</v>
      </c>
    </row>
    <row r="14" customFormat="false" ht="15" hidden="false" customHeight="false" outlineLevel="0" collapsed="false">
      <c r="A14" s="2"/>
      <c r="B14" s="4" t="s">
        <v>191</v>
      </c>
      <c r="C14" s="2"/>
      <c r="D14" s="2"/>
      <c r="E14" s="2"/>
      <c r="F14" s="21" t="n">
        <f aca="false">SUM(F5:F13)</f>
        <v>0.2306575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2"/>
      <c r="B16" s="4" t="s">
        <v>192</v>
      </c>
      <c r="C16" s="22" t="s">
        <v>5</v>
      </c>
      <c r="D16" s="23" t="s">
        <v>6</v>
      </c>
      <c r="E16" s="24" t="s">
        <v>7</v>
      </c>
      <c r="F16" s="2"/>
    </row>
    <row r="17" customFormat="false" ht="15" hidden="false" customHeight="false" outlineLevel="0" collapsed="false">
      <c r="A17" s="2"/>
      <c r="B17" s="25" t="s">
        <v>193</v>
      </c>
      <c r="C17" s="26" t="n">
        <v>1</v>
      </c>
      <c r="D17" s="27" t="n">
        <v>2</v>
      </c>
      <c r="E17" s="28" t="n">
        <v>4</v>
      </c>
      <c r="F17" s="2"/>
    </row>
    <row r="18" customFormat="false" ht="15" hidden="false" customHeight="false" outlineLevel="0" collapsed="false">
      <c r="A18" s="2"/>
      <c r="B18" s="25" t="s">
        <v>194</v>
      </c>
      <c r="C18" s="29" t="n">
        <f aca="false">$F$14*C17</f>
        <v>0.2306575</v>
      </c>
      <c r="D18" s="30" t="n">
        <f aca="false">$F$14*D17</f>
        <v>0.461315</v>
      </c>
      <c r="E18" s="31" t="n">
        <f aca="false">$F$14*E17</f>
        <v>0.92263</v>
      </c>
      <c r="F18" s="2"/>
    </row>
    <row r="19" customFormat="false" ht="15" hidden="false" customHeight="false" outlineLevel="0" collapsed="false">
      <c r="A19" s="2"/>
      <c r="B19" s="25" t="s">
        <v>195</v>
      </c>
      <c r="C19" s="32" t="s">
        <v>176</v>
      </c>
      <c r="D19" s="33" t="s">
        <v>177</v>
      </c>
      <c r="E19" s="34" t="s">
        <v>178</v>
      </c>
      <c r="F19" s="2"/>
    </row>
    <row r="20" customFormat="false" ht="15" hidden="false" customHeight="false" outlineLevel="0" collapsed="false">
      <c r="A20" s="2"/>
      <c r="B20" s="25" t="s">
        <v>196</v>
      </c>
      <c r="C20" s="29" t="n">
        <f aca="false">IFERROR(INDEX(LIST!$G$2:$G$131,MATCH(C19,LIST!$B$2:$B$131,0)),0)</f>
        <v>0.021</v>
      </c>
      <c r="D20" s="30" t="n">
        <f aca="false">IFERROR(INDEX(LIST!$G$2:$G$131,MATCH(D19,LIST!$B$2:$B$131,0)),0)</f>
        <v>0.0315</v>
      </c>
      <c r="E20" s="31" t="n">
        <f aca="false">IFERROR(INDEX(LIST!$G$2:$G$131,MATCH(E19,LIST!$B$2:$B$131,0)),0)</f>
        <v>0.116666666666667</v>
      </c>
      <c r="F20" s="2"/>
    </row>
    <row r="21" customFormat="false" ht="15" hidden="false" customHeight="false" outlineLevel="0" collapsed="false">
      <c r="A21" s="2"/>
      <c r="B21" s="25" t="s">
        <v>197</v>
      </c>
      <c r="C21" s="26" t="n">
        <v>1</v>
      </c>
      <c r="D21" s="27" t="n">
        <v>2</v>
      </c>
      <c r="E21" s="28" t="n">
        <v>3</v>
      </c>
      <c r="F21" s="2"/>
    </row>
    <row r="22" customFormat="false" ht="15" hidden="false" customHeight="false" outlineLevel="0" collapsed="false">
      <c r="A22" s="2"/>
      <c r="B22" s="25" t="s">
        <v>198</v>
      </c>
      <c r="C22" s="29" t="n">
        <f aca="false">C21*IFERROR(INDEX(LIST!$G$2:$G$131,MATCH("SPOON",LIST!$B$2:$B$131,0)),0)</f>
        <v>0.0064</v>
      </c>
      <c r="D22" s="30" t="n">
        <f aca="false">D21*IFERROR(INDEX(LIST!$G$2:$G$131,MATCH("SPOON",LIST!$B$2:$B$131,0)),0)</f>
        <v>0.0128</v>
      </c>
      <c r="E22" s="31" t="n">
        <f aca="false">E21*IFERROR(INDEX(LIST!$G$2:$G$131,MATCH("SPOON",LIST!$B$2:$B$131,0)),0)</f>
        <v>0.0192</v>
      </c>
      <c r="F22" s="2"/>
    </row>
    <row r="23" customFormat="false" ht="15" hidden="false" customHeight="false" outlineLevel="0" collapsed="false">
      <c r="A23" s="2"/>
      <c r="B23" s="25" t="s">
        <v>199</v>
      </c>
      <c r="C23" s="26" t="n">
        <v>1</v>
      </c>
      <c r="D23" s="27" t="n">
        <v>2</v>
      </c>
      <c r="E23" s="28" t="n">
        <v>4</v>
      </c>
      <c r="F23" s="2"/>
    </row>
    <row r="24" customFormat="false" ht="15" hidden="false" customHeight="false" outlineLevel="0" collapsed="false">
      <c r="A24" s="2"/>
      <c r="B24" s="25" t="s">
        <v>200</v>
      </c>
      <c r="C24" s="29" t="n">
        <f aca="false">C23*IFERROR(INDEX(LIST!$G$2:$G$131,MATCH("Bread",LIST!$B$2:$B$131,0)),0)</f>
        <v>0.012</v>
      </c>
      <c r="D24" s="30" t="n">
        <f aca="false">D23*IFERROR(INDEX(LIST!$G$2:$G$131,MATCH("Bread",LIST!$B$2:$B$131,0)),0)</f>
        <v>0.024</v>
      </c>
      <c r="E24" s="31" t="n">
        <f aca="false">E23*IFERROR(INDEX(LIST!$G$2:$G$131,MATCH("Bread",LIST!$B$2:$B$131,0)),0)</f>
        <v>0.048</v>
      </c>
      <c r="F24" s="2"/>
    </row>
    <row r="25" customFormat="false" ht="15" hidden="false" customHeight="false" outlineLevel="0" collapsed="false">
      <c r="A25" s="2"/>
      <c r="B25" s="25" t="s">
        <v>201</v>
      </c>
      <c r="C25" s="32" t="s">
        <v>183</v>
      </c>
      <c r="D25" s="33" t="s">
        <v>184</v>
      </c>
      <c r="E25" s="34" t="s">
        <v>185</v>
      </c>
      <c r="F25" s="2"/>
    </row>
    <row r="26" customFormat="false" ht="15" hidden="false" customHeight="false" outlineLevel="0" collapsed="false">
      <c r="A26" s="2"/>
      <c r="B26" s="25" t="s">
        <v>202</v>
      </c>
      <c r="C26" s="29" t="n">
        <f aca="false">IFERROR(INDEX(LIST!$G$2:$G$131,MATCH(C25,LIST!$B$2:$B$131,0)),0)</f>
        <v>0.02</v>
      </c>
      <c r="D26" s="30" t="n">
        <f aca="false">IFERROR(INDEX(LIST!$G$2:$G$131,MATCH(D25,LIST!$B$2:$B$131,0)),0)</f>
        <v>0.03</v>
      </c>
      <c r="E26" s="31" t="n">
        <f aca="false">IFERROR(INDEX(LIST!$G$2:$G$131,MATCH(E25,LIST!$B$2:$B$131,0)),0)</f>
        <v>0.04</v>
      </c>
      <c r="F26" s="2"/>
    </row>
    <row r="27" customFormat="false" ht="15" hidden="false" customHeight="false" outlineLevel="0" collapsed="false">
      <c r="A27" s="2"/>
      <c r="B27" s="25" t="s">
        <v>203</v>
      </c>
      <c r="C27" s="35" t="n">
        <v>0</v>
      </c>
      <c r="D27" s="36" t="n">
        <v>0</v>
      </c>
      <c r="E27" s="37" t="n">
        <v>0</v>
      </c>
      <c r="F27" s="2"/>
    </row>
    <row r="28" customFormat="false" ht="15" hidden="false" customHeight="false" outlineLevel="0" collapsed="false">
      <c r="A28" s="2"/>
      <c r="B28" s="25" t="s">
        <v>204</v>
      </c>
      <c r="C28" s="29" t="n">
        <f aca="false">C20+C22+C24+C26+C27</f>
        <v>0.0594</v>
      </c>
      <c r="D28" s="30" t="n">
        <f aca="false">D20+D22+D24+D26+D27</f>
        <v>0.0983</v>
      </c>
      <c r="E28" s="31" t="n">
        <f aca="false">E20+E22+E24+E26+E27</f>
        <v>0.223866666666667</v>
      </c>
      <c r="F28" s="2"/>
    </row>
    <row r="29" customFormat="false" ht="15" hidden="false" customHeight="false" outlineLevel="0" collapsed="false">
      <c r="A29" s="2"/>
      <c r="B29" s="4" t="s">
        <v>205</v>
      </c>
      <c r="C29" s="38" t="n">
        <f aca="false">C18+C28</f>
        <v>0.2900575</v>
      </c>
      <c r="D29" s="39" t="n">
        <f aca="false">D18+D28</f>
        <v>0.559615</v>
      </c>
      <c r="E29" s="40" t="n">
        <f aca="false">E18+E28</f>
        <v>1.14649666666667</v>
      </c>
      <c r="F29" s="2"/>
    </row>
    <row r="30" customFormat="false" ht="15" hidden="false" customHeight="false" outlineLevel="0" collapsed="false">
      <c r="A30" s="2"/>
      <c r="B30" s="25" t="s">
        <v>9</v>
      </c>
      <c r="C30" s="35" t="n">
        <v>1.2</v>
      </c>
      <c r="D30" s="36" t="n">
        <v>2.2</v>
      </c>
      <c r="E30" s="37" t="n">
        <v>4.2</v>
      </c>
      <c r="F30" s="2"/>
    </row>
    <row r="31" customFormat="false" ht="15" hidden="false" customHeight="false" outlineLevel="0" collapsed="false">
      <c r="A31" s="2"/>
      <c r="B31" s="4" t="s">
        <v>206</v>
      </c>
      <c r="C31" s="41" t="n">
        <f aca="false">IF(C30=0,"",C29/C30)</f>
        <v>0.241714583333333</v>
      </c>
      <c r="D31" s="42" t="n">
        <f aca="false">IF(D30=0,"",D29/D30)</f>
        <v>0.254370454545455</v>
      </c>
      <c r="E31" s="43" t="n">
        <f aca="false">IF(E30=0,"",E29/E30)</f>
        <v>0.272975396825397</v>
      </c>
      <c r="F31" s="2"/>
    </row>
    <row r="32" customFormat="false" ht="15" hidden="false" customHeight="false" outlineLevel="0" collapsed="false">
      <c r="A32" s="2"/>
      <c r="B32" s="25" t="s">
        <v>11</v>
      </c>
      <c r="C32" s="35" t="n">
        <v>1.6</v>
      </c>
      <c r="D32" s="36" t="n">
        <v>2.8</v>
      </c>
      <c r="E32" s="37" t="n">
        <v>5</v>
      </c>
      <c r="F32" s="2"/>
    </row>
    <row r="33" customFormat="false" ht="15" hidden="false" customHeight="false" outlineLevel="0" collapsed="false">
      <c r="A33" s="2"/>
      <c r="B33" s="4" t="s">
        <v>207</v>
      </c>
      <c r="C33" s="41" t="n">
        <f aca="false">IF(N(C32)=0,"",C29/C32)</f>
        <v>0.1812859375</v>
      </c>
      <c r="D33" s="42" t="n">
        <f aca="false">IF(N(D32)=0,"",D29/D32)</f>
        <v>0.1998625</v>
      </c>
      <c r="E33" s="43" t="n">
        <f aca="false">IF(N(E32)=0,"",E29/E32)</f>
        <v>0.229299333333333</v>
      </c>
      <c r="F33" s="2"/>
    </row>
    <row r="34" customFormat="false" ht="15" hidden="false" customHeight="false" outlineLevel="0" collapsed="false">
      <c r="A34" s="2"/>
      <c r="B34" s="25" t="s">
        <v>208</v>
      </c>
      <c r="C34" s="29" t="n">
        <f aca="false">C30-C29</f>
        <v>0.9099425</v>
      </c>
      <c r="D34" s="30" t="n">
        <f aca="false">D30-D29</f>
        <v>1.640385</v>
      </c>
      <c r="E34" s="31" t="n">
        <f aca="false">E30-E29</f>
        <v>3.05350333333333</v>
      </c>
      <c r="F34" s="2"/>
    </row>
    <row r="35" customFormat="false" ht="15" hidden="false" customHeight="false" outlineLevel="0" collapsed="false">
      <c r="A35" s="2"/>
      <c r="B35" s="25" t="s">
        <v>209</v>
      </c>
      <c r="C35" s="29" t="n">
        <f aca="false">IF(N(C32)=0,"",C32-C29)</f>
        <v>1.3099425</v>
      </c>
      <c r="D35" s="30" t="n">
        <f aca="false">IF(N(D32)=0,"",D32-D29)</f>
        <v>2.240385</v>
      </c>
      <c r="E35" s="31" t="n">
        <f aca="false">IF(N(E32)=0,"",E32-E29)</f>
        <v>3.85350333333333</v>
      </c>
      <c r="F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25</v>
      </c>
      <c r="C5" s="17" t="n">
        <v>190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0.00101777777777778</v>
      </c>
      <c r="F5" s="20" t="n">
        <f aca="false">C5*E5</f>
        <v>0.193377777777778</v>
      </c>
    </row>
    <row r="6" customFormat="false" ht="15" hidden="false" customHeight="false" outlineLevel="0" collapsed="false">
      <c r="A6" s="2" t="n">
        <v>2</v>
      </c>
      <c r="B6" s="2" t="s">
        <v>167</v>
      </c>
      <c r="C6" s="17" t="n">
        <v>10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0.00217647058823529</v>
      </c>
      <c r="F6" s="20" t="n">
        <f aca="false">C6*E6</f>
        <v>0.0217647058823529</v>
      </c>
    </row>
    <row r="7" customFormat="false" ht="15" hidden="false" customHeight="false" outlineLevel="0" collapsed="false">
      <c r="A7" s="2" t="n">
        <v>3</v>
      </c>
      <c r="B7" s="2" t="s">
        <v>161</v>
      </c>
      <c r="C7" s="17" t="n">
        <v>15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0.0009696</v>
      </c>
      <c r="F7" s="20" t="n">
        <f aca="false">C7*E7</f>
        <v>0.014544</v>
      </c>
    </row>
    <row r="8" customFormat="false" ht="15" hidden="false" customHeight="false" outlineLevel="0" collapsed="false">
      <c r="A8" s="2" t="n">
        <v>4</v>
      </c>
      <c r="B8" s="2" t="s">
        <v>150</v>
      </c>
      <c r="C8" s="17" t="n">
        <v>30</v>
      </c>
      <c r="D8" s="2" t="str">
        <f aca="false">IFERROR(INDEX(LIST!$F$2:$F$131,MATCH(B8,LIST!$B$2:$B$131,0)),"")</f>
        <v>ml</v>
      </c>
      <c r="E8" s="18" t="n">
        <f aca="false">IFERROR(INDEX(LIST!$G$2:$G$131,MATCH(B8,LIST!$B$2:$B$131,0)),0)</f>
        <v>0.000594</v>
      </c>
      <c r="F8" s="20" t="n">
        <f aca="false">C8*E8</f>
        <v>0.01782</v>
      </c>
    </row>
    <row r="9" customFormat="false" ht="15" hidden="false" customHeight="false" outlineLevel="0" collapsed="false">
      <c r="A9" s="2" t="n">
        <v>5</v>
      </c>
      <c r="B9" s="2" t="s">
        <v>76</v>
      </c>
      <c r="C9" s="17" t="n">
        <v>60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0.00045</v>
      </c>
      <c r="F9" s="20" t="n">
        <f aca="false">C9*E9</f>
        <v>0.027</v>
      </c>
    </row>
    <row r="10" customFormat="false" ht="15" hidden="false" customHeight="false" outlineLevel="0" collapsed="false">
      <c r="A10" s="2" t="n">
        <v>6</v>
      </c>
      <c r="B10" s="2" t="s">
        <v>81</v>
      </c>
      <c r="C10" s="17" t="n">
        <v>120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0.0005</v>
      </c>
      <c r="F10" s="20" t="n">
        <f aca="false">C10*E10</f>
        <v>0.06</v>
      </c>
    </row>
    <row r="11" customFormat="false" ht="15" hidden="false" customHeight="false" outlineLevel="0" collapsed="false">
      <c r="A11" s="2" t="n">
        <v>7</v>
      </c>
      <c r="B11" s="2" t="s">
        <v>59</v>
      </c>
      <c r="C11" s="17" t="n">
        <v>1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0.00172727272727273</v>
      </c>
      <c r="F11" s="20" t="n">
        <f aca="false">C11*E11</f>
        <v>0.00172727272727273</v>
      </c>
    </row>
    <row r="12" customFormat="false" ht="15" hidden="false" customHeight="false" outlineLevel="0" collapsed="false">
      <c r="A12" s="2" t="n">
        <v>8</v>
      </c>
      <c r="B12" s="2" t="s">
        <v>68</v>
      </c>
      <c r="C12" s="17" t="n">
        <v>10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0.00065</v>
      </c>
      <c r="F12" s="20" t="n">
        <f aca="false">C12*E12</f>
        <v>0.0065</v>
      </c>
    </row>
    <row r="13" customFormat="false" ht="15" hidden="false" customHeight="false" outlineLevel="0" collapsed="false">
      <c r="A13" s="2" t="n">
        <v>9</v>
      </c>
      <c r="B13" s="2" t="s">
        <v>108</v>
      </c>
      <c r="C13" s="17" t="n">
        <v>1.25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0.00165</v>
      </c>
      <c r="F13" s="20" t="n">
        <f aca="false">C13*E13</f>
        <v>0.0020625</v>
      </c>
    </row>
    <row r="14" customFormat="false" ht="15" hidden="false" customHeight="false" outlineLevel="0" collapsed="false">
      <c r="A14" s="2" t="n">
        <v>10</v>
      </c>
      <c r="B14" s="2" t="s">
        <v>117</v>
      </c>
      <c r="C14" s="17" t="n">
        <v>1.25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0.0018</v>
      </c>
      <c r="F14" s="20" t="n">
        <f aca="false">C14*E14</f>
        <v>0.00225</v>
      </c>
    </row>
    <row r="15" customFormat="false" ht="15" hidden="false" customHeight="false" outlineLevel="0" collapsed="false">
      <c r="A15" s="2" t="n">
        <v>11</v>
      </c>
      <c r="B15" s="2" t="s">
        <v>102</v>
      </c>
      <c r="C15" s="17" t="n">
        <v>1.25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0.002818</v>
      </c>
      <c r="F15" s="20" t="n">
        <f aca="false">C15*E15</f>
        <v>0.0035225</v>
      </c>
    </row>
    <row r="16" customFormat="false" ht="15" hidden="false" customHeight="false" outlineLevel="0" collapsed="false">
      <c r="A16" s="2" t="n">
        <v>12</v>
      </c>
      <c r="B16" s="2" t="s">
        <v>118</v>
      </c>
      <c r="C16" s="17" t="n">
        <v>2.5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0.004</v>
      </c>
      <c r="F16" s="20" t="n">
        <f aca="false">C16*E16</f>
        <v>0.01</v>
      </c>
    </row>
    <row r="17" customFormat="false" ht="15" hidden="false" customHeight="false" outlineLevel="0" collapsed="false">
      <c r="A17" s="2" t="n">
        <v>13</v>
      </c>
      <c r="B17" s="2" t="s">
        <v>100</v>
      </c>
      <c r="C17" s="17" t="n">
        <v>1.25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0.00165</v>
      </c>
      <c r="F17" s="20" t="n">
        <f aca="false">C17*E17</f>
        <v>0.0020625</v>
      </c>
    </row>
    <row r="18" customFormat="false" ht="15" hidden="false" customHeight="false" outlineLevel="0" collapsed="false">
      <c r="A18" s="2" t="n">
        <v>14</v>
      </c>
      <c r="B18" s="2" t="s">
        <v>115</v>
      </c>
      <c r="C18" s="17" t="n">
        <v>2.5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0.000165</v>
      </c>
      <c r="F18" s="20" t="n">
        <f aca="false">C18*E18</f>
        <v>0.0004125</v>
      </c>
    </row>
    <row r="19" customFormat="false" ht="15" hidden="false" customHeight="false" outlineLevel="0" collapsed="false">
      <c r="A19" s="2"/>
      <c r="B19" s="4" t="s">
        <v>191</v>
      </c>
      <c r="C19" s="2"/>
      <c r="D19" s="2"/>
      <c r="E19" s="2"/>
      <c r="F19" s="21" t="n">
        <f aca="false">SUM(F5:F18)</f>
        <v>0.363043756387403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4" t="s">
        <v>192</v>
      </c>
      <c r="C21" s="22" t="s">
        <v>5</v>
      </c>
      <c r="D21" s="23" t="s">
        <v>6</v>
      </c>
      <c r="E21" s="24" t="s">
        <v>7</v>
      </c>
      <c r="F21" s="2"/>
    </row>
    <row r="22" customFormat="false" ht="15" hidden="false" customHeight="false" outlineLevel="0" collapsed="false">
      <c r="A22" s="2"/>
      <c r="B22" s="25" t="s">
        <v>193</v>
      </c>
      <c r="C22" s="26" t="n">
        <v>1</v>
      </c>
      <c r="D22" s="27" t="n">
        <v>2</v>
      </c>
      <c r="E22" s="28" t="n">
        <v>4</v>
      </c>
      <c r="F22" s="2"/>
    </row>
    <row r="23" customFormat="false" ht="15" hidden="false" customHeight="false" outlineLevel="0" collapsed="false">
      <c r="A23" s="2"/>
      <c r="B23" s="25" t="s">
        <v>194</v>
      </c>
      <c r="C23" s="29" t="n">
        <f aca="false">$F$19*C22</f>
        <v>0.363043756387403</v>
      </c>
      <c r="D23" s="30" t="n">
        <f aca="false">$F$19*D22</f>
        <v>0.726087512774807</v>
      </c>
      <c r="E23" s="31" t="n">
        <f aca="false">$F$19*E22</f>
        <v>1.45217502554961</v>
      </c>
      <c r="F23" s="2"/>
    </row>
    <row r="24" customFormat="false" ht="15" hidden="false" customHeight="false" outlineLevel="0" collapsed="false">
      <c r="A24" s="2"/>
      <c r="B24" s="25" t="s">
        <v>195</v>
      </c>
      <c r="C24" s="32" t="s">
        <v>176</v>
      </c>
      <c r="D24" s="33" t="s">
        <v>177</v>
      </c>
      <c r="E24" s="34" t="s">
        <v>178</v>
      </c>
      <c r="F24" s="2"/>
    </row>
    <row r="25" customFormat="false" ht="15" hidden="false" customHeight="false" outlineLevel="0" collapsed="false">
      <c r="A25" s="2"/>
      <c r="B25" s="25" t="s">
        <v>196</v>
      </c>
      <c r="C25" s="29" t="n">
        <f aca="false">IFERROR(INDEX(LIST!$G$2:$G$131,MATCH(C24,LIST!$B$2:$B$131,0)),0)</f>
        <v>0.021</v>
      </c>
      <c r="D25" s="30" t="n">
        <f aca="false">IFERROR(INDEX(LIST!$G$2:$G$131,MATCH(D24,LIST!$B$2:$B$131,0)),0)</f>
        <v>0.0315</v>
      </c>
      <c r="E25" s="31" t="n">
        <f aca="false">IFERROR(INDEX(LIST!$G$2:$G$131,MATCH(E24,LIST!$B$2:$B$131,0)),0)</f>
        <v>0.116666666666667</v>
      </c>
      <c r="F25" s="2"/>
    </row>
    <row r="26" customFormat="false" ht="15" hidden="false" customHeight="false" outlineLevel="0" collapsed="false">
      <c r="A26" s="2"/>
      <c r="B26" s="25" t="s">
        <v>197</v>
      </c>
      <c r="C26" s="26" t="n">
        <v>1</v>
      </c>
      <c r="D26" s="27" t="n">
        <v>2</v>
      </c>
      <c r="E26" s="28" t="n">
        <v>3</v>
      </c>
      <c r="F26" s="2"/>
    </row>
    <row r="27" customFormat="false" ht="15" hidden="false" customHeight="false" outlineLevel="0" collapsed="false">
      <c r="A27" s="2"/>
      <c r="B27" s="25" t="s">
        <v>198</v>
      </c>
      <c r="C27" s="29" t="n">
        <f aca="false">C26*IFERROR(INDEX(LIST!$G$2:$G$131,MATCH("SPOON",LIST!$B$2:$B$131,0)),0)</f>
        <v>0.0064</v>
      </c>
      <c r="D27" s="30" t="n">
        <f aca="false">D26*IFERROR(INDEX(LIST!$G$2:$G$131,MATCH("SPOON",LIST!$B$2:$B$131,0)),0)</f>
        <v>0.0128</v>
      </c>
      <c r="E27" s="31" t="n">
        <f aca="false">E26*IFERROR(INDEX(LIST!$G$2:$G$131,MATCH("SPOON",LIST!$B$2:$B$131,0)),0)</f>
        <v>0.0192</v>
      </c>
      <c r="F27" s="2"/>
    </row>
    <row r="28" customFormat="false" ht="15" hidden="false" customHeight="false" outlineLevel="0" collapsed="false">
      <c r="A28" s="2"/>
      <c r="B28" s="25" t="s">
        <v>199</v>
      </c>
      <c r="C28" s="26" t="n">
        <v>1</v>
      </c>
      <c r="D28" s="27" t="n">
        <v>2</v>
      </c>
      <c r="E28" s="28" t="n">
        <v>4</v>
      </c>
      <c r="F28" s="2"/>
    </row>
    <row r="29" customFormat="false" ht="15" hidden="false" customHeight="false" outlineLevel="0" collapsed="false">
      <c r="A29" s="2"/>
      <c r="B29" s="25" t="s">
        <v>200</v>
      </c>
      <c r="C29" s="29" t="n">
        <f aca="false">C28*IFERROR(INDEX(LIST!$G$2:$G$131,MATCH("Bread",LIST!$B$2:$B$131,0)),0)</f>
        <v>0.012</v>
      </c>
      <c r="D29" s="30" t="n">
        <f aca="false">D28*IFERROR(INDEX(LIST!$G$2:$G$131,MATCH("Bread",LIST!$B$2:$B$131,0)),0)</f>
        <v>0.024</v>
      </c>
      <c r="E29" s="31" t="n">
        <f aca="false">E28*IFERROR(INDEX(LIST!$G$2:$G$131,MATCH("Bread",LIST!$B$2:$B$131,0)),0)</f>
        <v>0.048</v>
      </c>
      <c r="F29" s="2"/>
    </row>
    <row r="30" customFormat="false" ht="15" hidden="false" customHeight="false" outlineLevel="0" collapsed="false">
      <c r="A30" s="2"/>
      <c r="B30" s="25" t="s">
        <v>201</v>
      </c>
      <c r="C30" s="32" t="s">
        <v>183</v>
      </c>
      <c r="D30" s="33" t="s">
        <v>184</v>
      </c>
      <c r="E30" s="34" t="s">
        <v>185</v>
      </c>
      <c r="F30" s="2"/>
    </row>
    <row r="31" customFormat="false" ht="15" hidden="false" customHeight="false" outlineLevel="0" collapsed="false">
      <c r="A31" s="2"/>
      <c r="B31" s="25" t="s">
        <v>202</v>
      </c>
      <c r="C31" s="29" t="n">
        <f aca="false">IFERROR(INDEX(LIST!$G$2:$G$131,MATCH(C30,LIST!$B$2:$B$131,0)),0)</f>
        <v>0.02</v>
      </c>
      <c r="D31" s="30" t="n">
        <f aca="false">IFERROR(INDEX(LIST!$G$2:$G$131,MATCH(D30,LIST!$B$2:$B$131,0)),0)</f>
        <v>0.03</v>
      </c>
      <c r="E31" s="31" t="n">
        <f aca="false">IFERROR(INDEX(LIST!$G$2:$G$131,MATCH(E30,LIST!$B$2:$B$131,0)),0)</f>
        <v>0.04</v>
      </c>
      <c r="F31" s="2"/>
    </row>
    <row r="32" customFormat="false" ht="15" hidden="false" customHeight="false" outlineLevel="0" collapsed="false">
      <c r="A32" s="2"/>
      <c r="B32" s="25" t="s">
        <v>203</v>
      </c>
      <c r="C32" s="35" t="n">
        <v>0</v>
      </c>
      <c r="D32" s="36" t="n">
        <v>0</v>
      </c>
      <c r="E32" s="37" t="n">
        <v>0</v>
      </c>
      <c r="F32" s="2"/>
    </row>
    <row r="33" customFormat="false" ht="15" hidden="false" customHeight="false" outlineLevel="0" collapsed="false">
      <c r="A33" s="2"/>
      <c r="B33" s="25" t="s">
        <v>204</v>
      </c>
      <c r="C33" s="29" t="n">
        <f aca="false">C25+C27+C29+C31+C32</f>
        <v>0.0594</v>
      </c>
      <c r="D33" s="30" t="n">
        <f aca="false">D25+D27+D29+D31+D32</f>
        <v>0.0983</v>
      </c>
      <c r="E33" s="31" t="n">
        <f aca="false">E25+E27+E29+E31+E32</f>
        <v>0.223866666666667</v>
      </c>
      <c r="F33" s="2"/>
    </row>
    <row r="34" customFormat="false" ht="15" hidden="false" customHeight="false" outlineLevel="0" collapsed="false">
      <c r="A34" s="2"/>
      <c r="B34" s="4" t="s">
        <v>205</v>
      </c>
      <c r="C34" s="38" t="n">
        <f aca="false">C23+C33</f>
        <v>0.422443756387403</v>
      </c>
      <c r="D34" s="39" t="n">
        <f aca="false">D23+D33</f>
        <v>0.824387512774807</v>
      </c>
      <c r="E34" s="40" t="n">
        <f aca="false">E23+E33</f>
        <v>1.67604169221628</v>
      </c>
      <c r="F34" s="2"/>
    </row>
    <row r="35" customFormat="false" ht="15" hidden="false" customHeight="false" outlineLevel="0" collapsed="false">
      <c r="A35" s="2"/>
      <c r="B35" s="25" t="s">
        <v>9</v>
      </c>
      <c r="C35" s="35" t="n">
        <v>1.4</v>
      </c>
      <c r="D35" s="36" t="n">
        <v>2.6</v>
      </c>
      <c r="E35" s="37" t="n">
        <v>5</v>
      </c>
      <c r="F35" s="2"/>
    </row>
    <row r="36" customFormat="false" ht="15" hidden="false" customHeight="false" outlineLevel="0" collapsed="false">
      <c r="A36" s="2"/>
      <c r="B36" s="4" t="s">
        <v>206</v>
      </c>
      <c r="C36" s="41" t="n">
        <f aca="false">IF(C35=0,"",C34/C35)</f>
        <v>0.301745540276717</v>
      </c>
      <c r="D36" s="42" t="n">
        <f aca="false">IF(D35=0,"",D34/D35)</f>
        <v>0.317072120298003</v>
      </c>
      <c r="E36" s="43" t="n">
        <f aca="false">IF(E35=0,"",E34/E35)</f>
        <v>0.335208338443256</v>
      </c>
      <c r="F36" s="2"/>
    </row>
    <row r="37" customFormat="false" ht="15" hidden="false" customHeight="false" outlineLevel="0" collapsed="false">
      <c r="A37" s="2"/>
      <c r="B37" s="25" t="s">
        <v>11</v>
      </c>
      <c r="C37" s="35" t="n">
        <v>1.7</v>
      </c>
      <c r="D37" s="36" t="n">
        <v>3</v>
      </c>
      <c r="E37" s="37" t="n">
        <v>5.6</v>
      </c>
      <c r="F37" s="2"/>
    </row>
    <row r="38" customFormat="false" ht="15" hidden="false" customHeight="false" outlineLevel="0" collapsed="false">
      <c r="A38" s="2"/>
      <c r="B38" s="4" t="s">
        <v>207</v>
      </c>
      <c r="C38" s="41" t="n">
        <f aca="false">IF(N(C37)=0,"",C34/C37)</f>
        <v>0.248496327286708</v>
      </c>
      <c r="D38" s="42" t="n">
        <f aca="false">IF(N(D37)=0,"",D34/D37)</f>
        <v>0.274795837591602</v>
      </c>
      <c r="E38" s="43" t="n">
        <f aca="false">IF(N(E37)=0,"",E34/E37)</f>
        <v>0.299293159324336</v>
      </c>
      <c r="F38" s="2"/>
    </row>
    <row r="39" customFormat="false" ht="15" hidden="false" customHeight="false" outlineLevel="0" collapsed="false">
      <c r="A39" s="2"/>
      <c r="B39" s="25" t="s">
        <v>208</v>
      </c>
      <c r="C39" s="29" t="n">
        <f aca="false">C35-C34</f>
        <v>0.977556243612596</v>
      </c>
      <c r="D39" s="30" t="n">
        <f aca="false">D35-D34</f>
        <v>1.77561248722519</v>
      </c>
      <c r="E39" s="31" t="n">
        <f aca="false">E35-E34</f>
        <v>3.32395830778372</v>
      </c>
      <c r="F39" s="2"/>
    </row>
    <row r="40" customFormat="false" ht="15" hidden="false" customHeight="false" outlineLevel="0" collapsed="false">
      <c r="A40" s="2"/>
      <c r="B40" s="25" t="s">
        <v>209</v>
      </c>
      <c r="C40" s="29" t="n">
        <f aca="false">IF(N(C37)=0,"",C37-C34)</f>
        <v>1.2775562436126</v>
      </c>
      <c r="D40" s="30" t="n">
        <f aca="false">IF(N(D37)=0,"",D37-D34)</f>
        <v>2.17561248722519</v>
      </c>
      <c r="E40" s="31" t="n">
        <f aca="false">IF(N(E37)=0,"",E37-E34)</f>
        <v>3.92395830778372</v>
      </c>
      <c r="F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89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0.000575</v>
      </c>
      <c r="F5" s="20" t="n">
        <f aca="false">C5*E5</f>
        <v>0.575</v>
      </c>
    </row>
    <row r="6" customFormat="false" ht="15" hidden="false" customHeight="false" outlineLevel="0" collapsed="false">
      <c r="A6" s="2" t="n">
        <v>2</v>
      </c>
      <c r="B6" s="2" t="s">
        <v>150</v>
      </c>
      <c r="C6" s="17" t="n">
        <v>60</v>
      </c>
      <c r="D6" s="2" t="str">
        <f aca="false">IFERROR(INDEX(LIST!$F$2:$F$131,MATCH(B6,LIST!$B$2:$B$131,0)),"")</f>
        <v>ml</v>
      </c>
      <c r="E6" s="18" t="n">
        <f aca="false">IFERROR(INDEX(LIST!$G$2:$G$131,MATCH(B6,LIST!$B$2:$B$131,0)),0)</f>
        <v>0.000594</v>
      </c>
      <c r="F6" s="20" t="n">
        <f aca="false">C6*E6</f>
        <v>0.03564</v>
      </c>
    </row>
    <row r="7" customFormat="false" ht="15" hidden="false" customHeight="false" outlineLevel="0" collapsed="false">
      <c r="A7" s="2" t="n">
        <v>3</v>
      </c>
      <c r="B7" s="2" t="s">
        <v>145</v>
      </c>
      <c r="C7" s="17" t="n">
        <v>1</v>
      </c>
      <c r="D7" s="2" t="str">
        <f aca="false">IFERROR(INDEX(LIST!$F$2:$F$131,MATCH(B7,LIST!$B$2:$B$131,0)),"")</f>
        <v>pc</v>
      </c>
      <c r="E7" s="18" t="n">
        <f aca="false">IFERROR(INDEX(LIST!$G$2:$G$131,MATCH(B7,LIST!$B$2:$B$131,0)),0)</f>
        <v>0.083</v>
      </c>
      <c r="F7" s="20" t="n">
        <f aca="false">C7*E7</f>
        <v>0.083</v>
      </c>
    </row>
    <row r="8" customFormat="false" ht="15" hidden="false" customHeight="false" outlineLevel="0" collapsed="false">
      <c r="A8" s="2" t="n">
        <v>4</v>
      </c>
      <c r="B8" s="2" t="s">
        <v>115</v>
      </c>
      <c r="C8" s="17" t="n">
        <v>15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0.000165</v>
      </c>
      <c r="F8" s="20" t="n">
        <f aca="false">C8*E8</f>
        <v>0.002475</v>
      </c>
    </row>
    <row r="9" customFormat="false" ht="15" hidden="false" customHeight="false" outlineLevel="0" collapsed="false">
      <c r="A9" s="2" t="n">
        <v>5</v>
      </c>
      <c r="B9" s="2" t="s">
        <v>90</v>
      </c>
      <c r="C9" s="17" t="n">
        <v>50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0.00175</v>
      </c>
      <c r="F9" s="20" t="n">
        <f aca="false">C9*E9</f>
        <v>0.0875</v>
      </c>
    </row>
    <row r="10" customFormat="false" ht="15" hidden="false" customHeight="false" outlineLevel="0" collapsed="false">
      <c r="A10" s="2" t="n">
        <v>6</v>
      </c>
      <c r="B10" s="2" t="s">
        <v>111</v>
      </c>
      <c r="C10" s="17" t="n">
        <v>1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0.004</v>
      </c>
      <c r="F10" s="20" t="n">
        <f aca="false">C10*E10</f>
        <v>0.004</v>
      </c>
    </row>
    <row r="11" customFormat="false" ht="15" hidden="false" customHeight="false" outlineLevel="0" collapsed="false">
      <c r="A11" s="2" t="n">
        <v>7</v>
      </c>
      <c r="B11" s="2" t="s">
        <v>110</v>
      </c>
      <c r="C11" s="17" t="n">
        <v>1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0.004</v>
      </c>
      <c r="F11" s="20" t="n">
        <f aca="false">C11*E11</f>
        <v>0.004</v>
      </c>
    </row>
    <row r="12" customFormat="false" ht="15" hidden="false" customHeight="false" outlineLevel="0" collapsed="false">
      <c r="A12" s="2" t="n">
        <v>8</v>
      </c>
      <c r="B12" s="2" t="s">
        <v>124</v>
      </c>
      <c r="C12" s="17" t="n">
        <v>1000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0.001363</v>
      </c>
      <c r="F12" s="20" t="n">
        <f aca="false">C12*E12</f>
        <v>1.363</v>
      </c>
    </row>
    <row r="13" customFormat="false" ht="15" hidden="false" customHeight="false" outlineLevel="0" collapsed="false">
      <c r="A13" s="2" t="n">
        <v>9</v>
      </c>
      <c r="B13" s="2" t="s">
        <v>76</v>
      </c>
      <c r="C13" s="17" t="n">
        <v>200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0.00045</v>
      </c>
      <c r="F13" s="20" t="n">
        <f aca="false">C13*E13</f>
        <v>0.09</v>
      </c>
    </row>
    <row r="14" customFormat="false" ht="15" hidden="false" customHeight="false" outlineLevel="0" collapsed="false">
      <c r="A14" s="2" t="n">
        <v>10</v>
      </c>
      <c r="B14" s="2" t="s">
        <v>171</v>
      </c>
      <c r="C14" s="17" t="n">
        <v>100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</v>
      </c>
      <c r="F14" s="20" t="n">
        <f aca="false">C14*E14</f>
        <v>0</v>
      </c>
    </row>
    <row r="15" customFormat="false" ht="15" hidden="false" customHeight="false" outlineLevel="0" collapsed="false">
      <c r="A15" s="2" t="n">
        <v>11</v>
      </c>
      <c r="B15" s="2" t="s">
        <v>172</v>
      </c>
      <c r="C15" s="17" t="n">
        <v>0.05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</v>
      </c>
      <c r="F15" s="20" t="n">
        <f aca="false">C15*E15</f>
        <v>0</v>
      </c>
    </row>
    <row r="16" customFormat="false" ht="15" hidden="false" customHeight="false" outlineLevel="0" collapsed="false">
      <c r="A16" s="2" t="n">
        <v>12</v>
      </c>
      <c r="B16" s="2" t="s">
        <v>67</v>
      </c>
      <c r="C16" s="17" t="n">
        <v>20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0.0015</v>
      </c>
      <c r="F16" s="20" t="n">
        <f aca="false">C16*E16</f>
        <v>0.03</v>
      </c>
    </row>
    <row r="17" customFormat="false" ht="15" hidden="false" customHeight="false" outlineLevel="0" collapsed="false">
      <c r="A17" s="2" t="n">
        <v>13</v>
      </c>
      <c r="B17" s="2" t="s">
        <v>94</v>
      </c>
      <c r="C17" s="17" t="n">
        <v>2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0.00409</v>
      </c>
      <c r="F17" s="20" t="n">
        <f aca="false">C17*E17</f>
        <v>0.00818</v>
      </c>
    </row>
    <row r="18" customFormat="false" ht="15" hidden="false" customHeight="false" outlineLevel="0" collapsed="false">
      <c r="A18" s="2" t="n">
        <v>14</v>
      </c>
      <c r="B18" s="2" t="s">
        <v>101</v>
      </c>
      <c r="C18" s="17" t="n">
        <v>2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0.0053636</v>
      </c>
      <c r="F18" s="20" t="n">
        <f aca="false">C18*E18</f>
        <v>0.0107272</v>
      </c>
    </row>
    <row r="19" customFormat="false" ht="15" hidden="false" customHeight="false" outlineLevel="0" collapsed="false">
      <c r="A19" s="2" t="n">
        <v>15</v>
      </c>
      <c r="B19" s="2" t="s">
        <v>103</v>
      </c>
      <c r="C19" s="17" t="n">
        <v>2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0.0028</v>
      </c>
      <c r="F19" s="20" t="n">
        <f aca="false">C19*E19</f>
        <v>0.0056</v>
      </c>
    </row>
    <row r="20" customFormat="false" ht="15" hidden="false" customHeight="false" outlineLevel="0" collapsed="false">
      <c r="A20" s="2" t="n">
        <v>16</v>
      </c>
      <c r="B20" s="2" t="s">
        <v>106</v>
      </c>
      <c r="C20" s="17" t="n">
        <v>2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0.016</v>
      </c>
      <c r="F20" s="20" t="n">
        <f aca="false">C20*E20</f>
        <v>0.032</v>
      </c>
    </row>
    <row r="21" customFormat="false" ht="15" hidden="false" customHeight="false" outlineLevel="0" collapsed="false">
      <c r="A21" s="2" t="n">
        <v>17</v>
      </c>
      <c r="B21" s="2" t="s">
        <v>104</v>
      </c>
      <c r="C21" s="17" t="n">
        <v>5</v>
      </c>
      <c r="D21" s="2" t="str">
        <f aca="false">IFERROR(INDEX(LIST!$F$2:$F$131,MATCH(B21,LIST!$B$2:$B$131,0)),"")</f>
        <v>g</v>
      </c>
      <c r="E21" s="18" t="n">
        <f aca="false">IFERROR(INDEX(LIST!$G$2:$G$131,MATCH(B21,LIST!$B$2:$B$131,0)),0)</f>
        <v>0.0023636</v>
      </c>
      <c r="F21" s="20" t="n">
        <f aca="false">C21*E21</f>
        <v>0.011818</v>
      </c>
    </row>
    <row r="22" customFormat="false" ht="15" hidden="false" customHeight="false" outlineLevel="0" collapsed="false">
      <c r="A22" s="2"/>
      <c r="B22" s="4" t="s">
        <v>191</v>
      </c>
      <c r="C22" s="2"/>
      <c r="D22" s="2"/>
      <c r="E22" s="2"/>
      <c r="F22" s="21" t="n">
        <f aca="false">SUM(F5:F21)</f>
        <v>2.3429402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2"/>
      <c r="B24" s="4" t="s">
        <v>192</v>
      </c>
      <c r="C24" s="22" t="s">
        <v>5</v>
      </c>
      <c r="D24" s="23" t="s">
        <v>6</v>
      </c>
      <c r="E24" s="24" t="s">
        <v>7</v>
      </c>
      <c r="F24" s="2"/>
    </row>
    <row r="25" customFormat="false" ht="15" hidden="false" customHeight="false" outlineLevel="0" collapsed="false">
      <c r="A25" s="2"/>
      <c r="B25" s="25" t="s">
        <v>212</v>
      </c>
      <c r="C25" s="26" t="n">
        <v>5</v>
      </c>
      <c r="D25" s="27" t="n">
        <v>3</v>
      </c>
      <c r="E25" s="28" t="n">
        <v>1.5</v>
      </c>
      <c r="F25" s="2"/>
    </row>
    <row r="26" customFormat="false" ht="15" hidden="false" customHeight="false" outlineLevel="0" collapsed="false">
      <c r="A26" s="2"/>
      <c r="B26" s="25" t="s">
        <v>194</v>
      </c>
      <c r="C26" s="29" t="n">
        <f aca="false">IF(C25=0,0,$F$22/C25)</f>
        <v>0.46858804</v>
      </c>
      <c r="D26" s="30" t="n">
        <f aca="false">IF(D25=0,0,$F$22/D25)</f>
        <v>0.780980066666667</v>
      </c>
      <c r="E26" s="31" t="n">
        <f aca="false">IF(E25=0,0,$F$22/E25)</f>
        <v>1.56196013333333</v>
      </c>
      <c r="F26" s="2"/>
    </row>
    <row r="27" customFormat="false" ht="15" hidden="false" customHeight="false" outlineLevel="0" collapsed="false">
      <c r="A27" s="2"/>
      <c r="B27" s="25" t="s">
        <v>195</v>
      </c>
      <c r="C27" s="32" t="s">
        <v>179</v>
      </c>
      <c r="D27" s="33" t="s">
        <v>180</v>
      </c>
      <c r="E27" s="34" t="s">
        <v>181</v>
      </c>
      <c r="F27" s="2"/>
    </row>
    <row r="28" customFormat="false" ht="15" hidden="false" customHeight="false" outlineLevel="0" collapsed="false">
      <c r="A28" s="2"/>
      <c r="B28" s="25" t="s">
        <v>196</v>
      </c>
      <c r="C28" s="29" t="n">
        <f aca="false">IFERROR(INDEX(LIST!$G$2:$G$131,MATCH(C27,LIST!$B$2:$B$131,0)),0)</f>
        <v>0.0024</v>
      </c>
      <c r="D28" s="30" t="n">
        <f aca="false">IFERROR(INDEX(LIST!$G$2:$G$131,MATCH(D27,LIST!$B$2:$B$131,0)),0)</f>
        <v>0.006</v>
      </c>
      <c r="E28" s="31" t="n">
        <f aca="false">IFERROR(INDEX(LIST!$G$2:$G$131,MATCH(E27,LIST!$B$2:$B$131,0)),0)</f>
        <v>0.006</v>
      </c>
      <c r="F28" s="2"/>
    </row>
    <row r="29" customFormat="false" ht="15" hidden="false" customHeight="false" outlineLevel="0" collapsed="false">
      <c r="A29" s="2"/>
      <c r="B29" s="25" t="s">
        <v>197</v>
      </c>
      <c r="C29" s="26" t="n">
        <v>1</v>
      </c>
      <c r="D29" s="27" t="n">
        <v>3</v>
      </c>
      <c r="E29" s="28" t="n">
        <v>4</v>
      </c>
      <c r="F29" s="2"/>
    </row>
    <row r="30" customFormat="false" ht="15" hidden="false" customHeight="false" outlineLevel="0" collapsed="false">
      <c r="A30" s="2"/>
      <c r="B30" s="25" t="s">
        <v>198</v>
      </c>
      <c r="C30" s="29" t="n">
        <f aca="false">C29*IFERROR(INDEX(LIST!$G$2:$G$131,MATCH("SPOON",LIST!$B$2:$B$131,0)),0)</f>
        <v>0.0064</v>
      </c>
      <c r="D30" s="30" t="n">
        <f aca="false">D29*IFERROR(INDEX(LIST!$G$2:$G$131,MATCH("SPOON",LIST!$B$2:$B$131,0)),0)</f>
        <v>0.0192</v>
      </c>
      <c r="E30" s="31" t="n">
        <f aca="false">E29*IFERROR(INDEX(LIST!$G$2:$G$131,MATCH("SPOON",LIST!$B$2:$B$131,0)),0)</f>
        <v>0.0256</v>
      </c>
      <c r="F30" s="2"/>
    </row>
    <row r="31" customFormat="false" ht="15" hidden="false" customHeight="false" outlineLevel="0" collapsed="false">
      <c r="A31" s="2"/>
      <c r="B31" s="25" t="s">
        <v>199</v>
      </c>
      <c r="C31" s="26" t="n">
        <v>0</v>
      </c>
      <c r="D31" s="27" t="n">
        <v>0</v>
      </c>
      <c r="E31" s="28" t="n">
        <v>0</v>
      </c>
      <c r="F31" s="2"/>
    </row>
    <row r="32" customFormat="false" ht="15" hidden="false" customHeight="false" outlineLevel="0" collapsed="false">
      <c r="A32" s="2"/>
      <c r="B32" s="25" t="s">
        <v>200</v>
      </c>
      <c r="C32" s="29" t="n">
        <f aca="false">C31*IFERROR(INDEX(LIST!$G$2:$G$131,MATCH("Bread",LIST!$B$2:$B$131,0)),0)</f>
        <v>0</v>
      </c>
      <c r="D32" s="30" t="n">
        <f aca="false">D31*IFERROR(INDEX(LIST!$G$2:$G$131,MATCH("Bread",LIST!$B$2:$B$131,0)),0)</f>
        <v>0</v>
      </c>
      <c r="E32" s="31" t="n">
        <f aca="false">E31*IFERROR(INDEX(LIST!$G$2:$G$131,MATCH("Bread",LIST!$B$2:$B$131,0)),0)</f>
        <v>0</v>
      </c>
      <c r="F32" s="2"/>
    </row>
    <row r="33" customFormat="false" ht="15" hidden="false" customHeight="false" outlineLevel="0" collapsed="false">
      <c r="A33" s="2"/>
      <c r="B33" s="25" t="s">
        <v>201</v>
      </c>
      <c r="C33" s="32"/>
      <c r="D33" s="33" t="s">
        <v>184</v>
      </c>
      <c r="E33" s="34" t="s">
        <v>185</v>
      </c>
      <c r="F33" s="2"/>
    </row>
    <row r="34" customFormat="false" ht="15" hidden="false" customHeight="false" outlineLevel="0" collapsed="false">
      <c r="A34" s="2"/>
      <c r="B34" s="25" t="s">
        <v>202</v>
      </c>
      <c r="C34" s="29" t="n">
        <f aca="false">IFERROR(INDEX(LIST!$G$2:$G$131,MATCH(C33,LIST!$B$2:$B$131,0)),0)</f>
        <v>0</v>
      </c>
      <c r="D34" s="30" t="n">
        <f aca="false">IFERROR(INDEX(LIST!$G$2:$G$131,MATCH(D33,LIST!$B$2:$B$131,0)),0)</f>
        <v>0.03</v>
      </c>
      <c r="E34" s="31" t="n">
        <f aca="false">IFERROR(INDEX(LIST!$G$2:$G$131,MATCH(E33,LIST!$B$2:$B$131,0)),0)</f>
        <v>0.04</v>
      </c>
      <c r="F34" s="2"/>
    </row>
    <row r="35" customFormat="false" ht="15" hidden="false" customHeight="false" outlineLevel="0" collapsed="false">
      <c r="A35" s="2"/>
      <c r="B35" s="25" t="s">
        <v>203</v>
      </c>
      <c r="C35" s="35" t="n">
        <v>0.016</v>
      </c>
      <c r="D35" s="36" t="n">
        <v>0.048</v>
      </c>
      <c r="E35" s="37" t="n">
        <v>0.1109</v>
      </c>
      <c r="F35" s="2"/>
    </row>
    <row r="36" customFormat="false" ht="15" hidden="false" customHeight="false" outlineLevel="0" collapsed="false">
      <c r="A36" s="2"/>
      <c r="B36" s="25" t="s">
        <v>204</v>
      </c>
      <c r="C36" s="29" t="n">
        <f aca="false">C28+C30+C32+C34+C35</f>
        <v>0.0248</v>
      </c>
      <c r="D36" s="30" t="n">
        <f aca="false">D28+D30+D32+D34+D35</f>
        <v>0.1032</v>
      </c>
      <c r="E36" s="31" t="n">
        <f aca="false">E28+E30+E32+E34+E35</f>
        <v>0.1825</v>
      </c>
      <c r="F36" s="2"/>
    </row>
    <row r="37" customFormat="false" ht="15" hidden="false" customHeight="false" outlineLevel="0" collapsed="false">
      <c r="A37" s="2"/>
      <c r="B37" s="4" t="s">
        <v>205</v>
      </c>
      <c r="C37" s="38" t="n">
        <f aca="false">C26+C36</f>
        <v>0.49338804</v>
      </c>
      <c r="D37" s="39" t="n">
        <f aca="false">D26+D36</f>
        <v>0.884180066666667</v>
      </c>
      <c r="E37" s="40" t="n">
        <f aca="false">E26+E36</f>
        <v>1.74446013333333</v>
      </c>
      <c r="F37" s="2"/>
    </row>
    <row r="38" customFormat="false" ht="15" hidden="false" customHeight="false" outlineLevel="0" collapsed="false">
      <c r="A38" s="2"/>
      <c r="B38" s="25" t="s">
        <v>9</v>
      </c>
      <c r="C38" s="35" t="n">
        <v>1.2</v>
      </c>
      <c r="D38" s="36" t="n">
        <v>2.3</v>
      </c>
      <c r="E38" s="37" t="n">
        <v>4.4</v>
      </c>
      <c r="F38" s="2"/>
    </row>
    <row r="39" customFormat="false" ht="15" hidden="false" customHeight="false" outlineLevel="0" collapsed="false">
      <c r="A39" s="2"/>
      <c r="B39" s="4" t="s">
        <v>206</v>
      </c>
      <c r="C39" s="41" t="n">
        <f aca="false">IF(C38=0,"",C37/C38)</f>
        <v>0.4111567</v>
      </c>
      <c r="D39" s="42" t="n">
        <f aca="false">IF(D38=0,"",D37/D38)</f>
        <v>0.384426115942029</v>
      </c>
      <c r="E39" s="43" t="n">
        <f aca="false">IF(E38=0,"",E37/E38)</f>
        <v>0.396468212121212</v>
      </c>
      <c r="F39" s="2"/>
    </row>
    <row r="40" customFormat="false" ht="15" hidden="false" customHeight="false" outlineLevel="0" collapsed="false">
      <c r="A40" s="2"/>
      <c r="B40" s="25" t="s">
        <v>11</v>
      </c>
      <c r="C40" s="35" t="n">
        <v>1.2</v>
      </c>
      <c r="D40" s="36" t="n">
        <v>2.3</v>
      </c>
      <c r="E40" s="37" t="n">
        <v>4.4</v>
      </c>
      <c r="F40" s="2"/>
    </row>
    <row r="41" customFormat="false" ht="15" hidden="false" customHeight="false" outlineLevel="0" collapsed="false">
      <c r="A41" s="2"/>
      <c r="B41" s="4" t="s">
        <v>207</v>
      </c>
      <c r="C41" s="41" t="n">
        <f aca="false">IF(N(C40)=0,"",C37/C40)</f>
        <v>0.4111567</v>
      </c>
      <c r="D41" s="42" t="n">
        <f aca="false">IF(N(D40)=0,"",D37/D40)</f>
        <v>0.384426115942029</v>
      </c>
      <c r="E41" s="43" t="n">
        <f aca="false">IF(N(E40)=0,"",E37/E40)</f>
        <v>0.396468212121212</v>
      </c>
      <c r="F41" s="2"/>
    </row>
    <row r="42" customFormat="false" ht="15" hidden="false" customHeight="false" outlineLevel="0" collapsed="false">
      <c r="A42" s="2"/>
      <c r="B42" s="25" t="s">
        <v>208</v>
      </c>
      <c r="C42" s="29" t="n">
        <f aca="false">C38-C37</f>
        <v>0.70661196</v>
      </c>
      <c r="D42" s="30" t="n">
        <f aca="false">D38-D37</f>
        <v>1.41581993333333</v>
      </c>
      <c r="E42" s="31" t="n">
        <f aca="false">E38-E37</f>
        <v>2.65553986666667</v>
      </c>
      <c r="F42" s="2"/>
    </row>
    <row r="43" customFormat="false" ht="15" hidden="false" customHeight="false" outlineLevel="0" collapsed="false">
      <c r="A43" s="2"/>
      <c r="B43" s="25" t="s">
        <v>209</v>
      </c>
      <c r="C43" s="29" t="n">
        <f aca="false">IF(N(C40)=0,"",C40-C37)</f>
        <v>0.70661196</v>
      </c>
      <c r="D43" s="30" t="n">
        <f aca="false">IF(N(D40)=0,"",D40-D37)</f>
        <v>1.41581993333333</v>
      </c>
      <c r="E43" s="31" t="n">
        <f aca="false">IF(N(E40)=0,"",E40-E37)</f>
        <v>2.65553986666667</v>
      </c>
      <c r="F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28</v>
      </c>
      <c r="C5" s="17" t="n">
        <v>500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0.00073</v>
      </c>
      <c r="F5" s="20" t="n">
        <f aca="false">C5*E5</f>
        <v>0.365</v>
      </c>
    </row>
    <row r="6" customFormat="false" ht="15" hidden="false" customHeight="false" outlineLevel="0" collapsed="false">
      <c r="A6" s="2" t="n">
        <v>2</v>
      </c>
      <c r="B6" s="2" t="s">
        <v>129</v>
      </c>
      <c r="C6" s="17" t="n">
        <v>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0.00351136363636364</v>
      </c>
      <c r="F6" s="20" t="n">
        <f aca="false">C6*E6</f>
        <v>0</v>
      </c>
    </row>
    <row r="7" customFormat="false" ht="15" hidden="false" customHeight="false" outlineLevel="0" collapsed="false">
      <c r="A7" s="2" t="n">
        <v>3</v>
      </c>
      <c r="B7" s="2" t="s">
        <v>115</v>
      </c>
      <c r="C7" s="17" t="n">
        <v>22.5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0.000165</v>
      </c>
      <c r="F7" s="20" t="n">
        <f aca="false">C7*E7</f>
        <v>0.0037125</v>
      </c>
    </row>
    <row r="8" customFormat="false" ht="15" hidden="false" customHeight="false" outlineLevel="0" collapsed="false">
      <c r="A8" s="2"/>
      <c r="B8" s="4" t="s">
        <v>191</v>
      </c>
      <c r="C8" s="2"/>
      <c r="D8" s="2"/>
      <c r="E8" s="2"/>
      <c r="F8" s="21" t="n">
        <f aca="false">SUM(F5:F7)</f>
        <v>0.3687125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4" t="s">
        <v>192</v>
      </c>
      <c r="C10" s="44" t="s">
        <v>4</v>
      </c>
      <c r="D10" s="22" t="s">
        <v>5</v>
      </c>
      <c r="E10" s="23" t="s">
        <v>6</v>
      </c>
      <c r="F10" s="24" t="s">
        <v>7</v>
      </c>
    </row>
    <row r="11" customFormat="false" ht="15" hidden="false" customHeight="false" outlineLevel="0" collapsed="false">
      <c r="A11" s="2"/>
      <c r="B11" s="25" t="s">
        <v>212</v>
      </c>
      <c r="C11" s="45" t="n">
        <v>8</v>
      </c>
      <c r="D11" s="26" t="n">
        <v>6</v>
      </c>
      <c r="E11" s="27" t="n">
        <v>3</v>
      </c>
      <c r="F11" s="28" t="n">
        <v>1.5</v>
      </c>
    </row>
    <row r="12" customFormat="false" ht="15" hidden="false" customHeight="false" outlineLevel="0" collapsed="false">
      <c r="A12" s="2"/>
      <c r="B12" s="25" t="s">
        <v>194</v>
      </c>
      <c r="C12" s="46" t="n">
        <f aca="false">IF(C11=0,0,$F$8/C11)</f>
        <v>0.0460890625</v>
      </c>
      <c r="D12" s="29" t="n">
        <f aca="false">IF(D11=0,0,$F$8/D11)</f>
        <v>0.0614520833333333</v>
      </c>
      <c r="E12" s="30" t="n">
        <f aca="false">IF(E11=0,0,$F$8/E11)</f>
        <v>0.122904166666667</v>
      </c>
      <c r="F12" s="31" t="n">
        <f aca="false">IF(F11=0,0,$F$8/F11)</f>
        <v>0.245808333333333</v>
      </c>
    </row>
    <row r="13" customFormat="false" ht="15" hidden="false" customHeight="false" outlineLevel="0" collapsed="false">
      <c r="A13" s="2"/>
      <c r="B13" s="25" t="s">
        <v>195</v>
      </c>
      <c r="C13" s="47" t="s">
        <v>175</v>
      </c>
      <c r="D13" s="32" t="s">
        <v>176</v>
      </c>
      <c r="E13" s="33" t="s">
        <v>177</v>
      </c>
      <c r="F13" s="34" t="s">
        <v>178</v>
      </c>
    </row>
    <row r="14" customFormat="false" ht="15" hidden="false" customHeight="false" outlineLevel="0" collapsed="false">
      <c r="A14" s="2"/>
      <c r="B14" s="25" t="s">
        <v>196</v>
      </c>
      <c r="C14" s="46" t="n">
        <f aca="false">IFERROR(INDEX(LIST!$G$2:$G$131,MATCH(C13,LIST!$B$2:$B$131,0)),0)</f>
        <v>0.025</v>
      </c>
      <c r="D14" s="29" t="n">
        <f aca="false">IFERROR(INDEX(LIST!$G$2:$G$131,MATCH(D13,LIST!$B$2:$B$131,0)),0)</f>
        <v>0.021</v>
      </c>
      <c r="E14" s="30" t="n">
        <f aca="false">IFERROR(INDEX(LIST!$G$2:$G$131,MATCH(E13,LIST!$B$2:$B$131,0)),0)</f>
        <v>0.0315</v>
      </c>
      <c r="F14" s="31" t="n">
        <f aca="false">IFERROR(INDEX(LIST!$G$2:$G$131,MATCH(F13,LIST!$B$2:$B$131,0)),0)</f>
        <v>0.116666666666667</v>
      </c>
    </row>
    <row r="15" customFormat="false" ht="15" hidden="false" customHeight="false" outlineLevel="0" collapsed="false">
      <c r="A15" s="2"/>
      <c r="B15" s="25" t="s">
        <v>197</v>
      </c>
      <c r="C15" s="45" t="n">
        <v>1</v>
      </c>
      <c r="D15" s="26" t="n">
        <v>1</v>
      </c>
      <c r="E15" s="27" t="n">
        <v>2</v>
      </c>
      <c r="F15" s="28" t="n">
        <v>3</v>
      </c>
    </row>
    <row r="16" customFormat="false" ht="15" hidden="false" customHeight="false" outlineLevel="0" collapsed="false">
      <c r="A16" s="2"/>
      <c r="B16" s="25" t="s">
        <v>198</v>
      </c>
      <c r="C16" s="46" t="n">
        <f aca="false">C15*IFERROR(INDEX(LIST!$G$2:$G$131,MATCH("SPOON",LIST!$B$2:$B$131,0)),0)</f>
        <v>0.0064</v>
      </c>
      <c r="D16" s="29" t="n">
        <f aca="false">D15*IFERROR(INDEX(LIST!$G$2:$G$131,MATCH("SPOON",LIST!$B$2:$B$131,0)),0)</f>
        <v>0.0064</v>
      </c>
      <c r="E16" s="30" t="n">
        <f aca="false">E15*IFERROR(INDEX(LIST!$G$2:$G$131,MATCH("SPOON",LIST!$B$2:$B$131,0)),0)</f>
        <v>0.0128</v>
      </c>
      <c r="F16" s="31" t="n">
        <f aca="false">F15*IFERROR(INDEX(LIST!$G$2:$G$131,MATCH("SPOON",LIST!$B$2:$B$131,0)),0)</f>
        <v>0.0192</v>
      </c>
    </row>
    <row r="17" customFormat="false" ht="15" hidden="false" customHeight="false" outlineLevel="0" collapsed="false">
      <c r="A17" s="2"/>
      <c r="B17" s="25" t="s">
        <v>199</v>
      </c>
      <c r="C17" s="45" t="n">
        <v>0</v>
      </c>
      <c r="D17" s="26" t="n">
        <v>0</v>
      </c>
      <c r="E17" s="27" t="n">
        <v>0</v>
      </c>
      <c r="F17" s="28" t="n">
        <v>0</v>
      </c>
    </row>
    <row r="18" customFormat="false" ht="15" hidden="false" customHeight="false" outlineLevel="0" collapsed="false">
      <c r="A18" s="2"/>
      <c r="B18" s="25" t="s">
        <v>200</v>
      </c>
      <c r="C18" s="46" t="n">
        <f aca="false">C17*IFERROR(INDEX(LIST!$G$2:$G$131,MATCH("Bread",LIST!$B$2:$B$131,0)),0)</f>
        <v>0</v>
      </c>
      <c r="D18" s="29" t="n">
        <f aca="false">D17*IFERROR(INDEX(LIST!$G$2:$G$131,MATCH("Bread",LIST!$B$2:$B$131,0)),0)</f>
        <v>0</v>
      </c>
      <c r="E18" s="30" t="n">
        <f aca="false">E17*IFERROR(INDEX(LIST!$G$2:$G$131,MATCH("Bread",LIST!$B$2:$B$131,0)),0)</f>
        <v>0</v>
      </c>
      <c r="F18" s="31" t="n">
        <f aca="false">F17*IFERROR(INDEX(LIST!$G$2:$G$131,MATCH("Bread",LIST!$B$2:$B$131,0)),0)</f>
        <v>0</v>
      </c>
    </row>
    <row r="19" customFormat="false" ht="15" hidden="false" customHeight="false" outlineLevel="0" collapsed="false">
      <c r="A19" s="2"/>
      <c r="B19" s="25" t="s">
        <v>201</v>
      </c>
      <c r="C19" s="47" t="s">
        <v>186</v>
      </c>
      <c r="D19" s="32" t="s">
        <v>183</v>
      </c>
      <c r="E19" s="33" t="s">
        <v>184</v>
      </c>
      <c r="F19" s="34" t="s">
        <v>185</v>
      </c>
    </row>
    <row r="20" customFormat="false" ht="15" hidden="false" customHeight="false" outlineLevel="0" collapsed="false">
      <c r="A20" s="2"/>
      <c r="B20" s="25" t="s">
        <v>202</v>
      </c>
      <c r="C20" s="46" t="n">
        <f aca="false">IFERROR(INDEX(LIST!$G$2:$G$131,MATCH(C19,LIST!$B$2:$B$131,0)),0)</f>
        <v>0.01</v>
      </c>
      <c r="D20" s="29" t="n">
        <f aca="false">IFERROR(INDEX(LIST!$G$2:$G$131,MATCH(D19,LIST!$B$2:$B$131,0)),0)</f>
        <v>0.02</v>
      </c>
      <c r="E20" s="30" t="n">
        <f aca="false">IFERROR(INDEX(LIST!$G$2:$G$131,MATCH(E19,LIST!$B$2:$B$131,0)),0)</f>
        <v>0.03</v>
      </c>
      <c r="F20" s="31" t="n">
        <f aca="false">IFERROR(INDEX(LIST!$G$2:$G$131,MATCH(F19,LIST!$B$2:$B$131,0)),0)</f>
        <v>0.04</v>
      </c>
    </row>
    <row r="21" customFormat="false" ht="15" hidden="false" customHeight="false" outlineLevel="0" collapsed="false">
      <c r="A21" s="2"/>
      <c r="B21" s="25" t="s">
        <v>203</v>
      </c>
      <c r="C21" s="48" t="n">
        <v>0</v>
      </c>
      <c r="D21" s="35" t="n">
        <v>0</v>
      </c>
      <c r="E21" s="36" t="n">
        <v>0</v>
      </c>
      <c r="F21" s="37" t="n">
        <v>0</v>
      </c>
    </row>
    <row r="22" customFormat="false" ht="15" hidden="false" customHeight="false" outlineLevel="0" collapsed="false">
      <c r="A22" s="2"/>
      <c r="B22" s="25" t="s">
        <v>204</v>
      </c>
      <c r="C22" s="46" t="n">
        <f aca="false">C14+C16+C18+C20+C21</f>
        <v>0.0414</v>
      </c>
      <c r="D22" s="29" t="n">
        <f aca="false">D14+D16+D18+D20+D21</f>
        <v>0.0474</v>
      </c>
      <c r="E22" s="30" t="n">
        <f aca="false">E14+E16+E18+E20+E21</f>
        <v>0.0743</v>
      </c>
      <c r="F22" s="31" t="n">
        <f aca="false">F14+F16+F18+F20+F21</f>
        <v>0.175866666666667</v>
      </c>
    </row>
    <row r="23" customFormat="false" ht="15" hidden="false" customHeight="false" outlineLevel="0" collapsed="false">
      <c r="A23" s="2"/>
      <c r="B23" s="4" t="s">
        <v>205</v>
      </c>
      <c r="C23" s="49" t="n">
        <f aca="false">C12+C22</f>
        <v>0.0874890625</v>
      </c>
      <c r="D23" s="38" t="n">
        <f aca="false">D12+D22</f>
        <v>0.108852083333333</v>
      </c>
      <c r="E23" s="39" t="n">
        <f aca="false">E12+E22</f>
        <v>0.197204166666667</v>
      </c>
      <c r="F23" s="40" t="n">
        <f aca="false">F12+F22</f>
        <v>0.421675</v>
      </c>
    </row>
    <row r="24" customFormat="false" ht="15" hidden="false" customHeight="false" outlineLevel="0" collapsed="false">
      <c r="A24" s="2"/>
      <c r="B24" s="25" t="s">
        <v>9</v>
      </c>
      <c r="C24" s="48" t="n">
        <v>0.4</v>
      </c>
      <c r="D24" s="35" t="n">
        <v>0.6</v>
      </c>
      <c r="E24" s="36" t="n">
        <v>1</v>
      </c>
      <c r="F24" s="37" t="n">
        <v>1.8</v>
      </c>
    </row>
    <row r="25" customFormat="false" ht="15" hidden="false" customHeight="false" outlineLevel="0" collapsed="false">
      <c r="A25" s="2"/>
      <c r="B25" s="4" t="s">
        <v>206</v>
      </c>
      <c r="C25" s="50" t="n">
        <f aca="false">IF(C24=0,"",C23/C24)</f>
        <v>0.21872265625</v>
      </c>
      <c r="D25" s="41" t="n">
        <f aca="false">IF(D24=0,"",D23/D24)</f>
        <v>0.181420138888889</v>
      </c>
      <c r="E25" s="42" t="n">
        <f aca="false">IF(E24=0,"",E23/E24)</f>
        <v>0.197204166666667</v>
      </c>
      <c r="F25" s="43" t="n">
        <f aca="false">IF(F24=0,"",F23/F24)</f>
        <v>0.234263888888889</v>
      </c>
    </row>
    <row r="26" customFormat="false" ht="15" hidden="false" customHeight="false" outlineLevel="0" collapsed="false">
      <c r="A26" s="2"/>
      <c r="B26" s="25" t="s">
        <v>11</v>
      </c>
      <c r="C26" s="48" t="n">
        <v>0.4</v>
      </c>
      <c r="D26" s="35" t="n">
        <v>0.75</v>
      </c>
      <c r="E26" s="36" t="n">
        <v>1.3</v>
      </c>
      <c r="F26" s="37" t="n">
        <v>2.2</v>
      </c>
    </row>
    <row r="27" customFormat="false" ht="15" hidden="false" customHeight="false" outlineLevel="0" collapsed="false">
      <c r="A27" s="2"/>
      <c r="B27" s="4" t="s">
        <v>207</v>
      </c>
      <c r="C27" s="50" t="n">
        <f aca="false">IF(N(C26)=0,"",C23/C26)</f>
        <v>0.21872265625</v>
      </c>
      <c r="D27" s="41" t="n">
        <f aca="false">IF(N(D26)=0,"",D23/D26)</f>
        <v>0.145136111111111</v>
      </c>
      <c r="E27" s="42" t="n">
        <f aca="false">IF(N(E26)=0,"",E23/E26)</f>
        <v>0.151695512820513</v>
      </c>
      <c r="F27" s="43" t="n">
        <f aca="false">IF(N(F26)=0,"",F23/F26)</f>
        <v>0.191670454545455</v>
      </c>
    </row>
    <row r="28" customFormat="false" ht="15" hidden="false" customHeight="false" outlineLevel="0" collapsed="false">
      <c r="A28" s="2"/>
      <c r="B28" s="25" t="s">
        <v>208</v>
      </c>
      <c r="C28" s="46" t="n">
        <f aca="false">C24-C23</f>
        <v>0.3125109375</v>
      </c>
      <c r="D28" s="29" t="n">
        <f aca="false">D24-D23</f>
        <v>0.491147916666667</v>
      </c>
      <c r="E28" s="30" t="n">
        <f aca="false">E24-E23</f>
        <v>0.802795833333333</v>
      </c>
      <c r="F28" s="31" t="n">
        <f aca="false">F24-F23</f>
        <v>1.378325</v>
      </c>
    </row>
    <row r="29" customFormat="false" ht="15" hidden="false" customHeight="false" outlineLevel="0" collapsed="false">
      <c r="A29" s="2"/>
      <c r="B29" s="25" t="s">
        <v>209</v>
      </c>
      <c r="C29" s="46" t="n">
        <f aca="false">IF(N(C26)=0,"",C26-C23)</f>
        <v>0.3125109375</v>
      </c>
      <c r="D29" s="29" t="n">
        <f aca="false">IF(N(D26)=0,"",D26-D23)</f>
        <v>0.641147916666667</v>
      </c>
      <c r="E29" s="30" t="n">
        <f aca="false">IF(N(E26)=0,"",E26-E23)</f>
        <v>1.10279583333333</v>
      </c>
      <c r="F29" s="31" t="n">
        <f aca="false">IF(N(F26)=0,"",F26-F23)</f>
        <v>1.778325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29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84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0.00066</v>
      </c>
      <c r="F5" s="20" t="n">
        <f aca="false">C5*E5</f>
        <v>0.66</v>
      </c>
    </row>
    <row r="6" customFormat="false" ht="15" hidden="false" customHeight="false" outlineLevel="0" collapsed="false">
      <c r="A6" s="2" t="n">
        <v>2</v>
      </c>
      <c r="B6" s="2" t="s">
        <v>115</v>
      </c>
      <c r="C6" s="17" t="n">
        <v>45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0.000165</v>
      </c>
      <c r="F6" s="20" t="n">
        <f aca="false">C6*E6</f>
        <v>0.007425</v>
      </c>
    </row>
    <row r="7" customFormat="false" ht="15" hidden="false" customHeight="false" outlineLevel="0" collapsed="false">
      <c r="A7" s="2" t="n">
        <v>3</v>
      </c>
      <c r="B7" s="2" t="s">
        <v>129</v>
      </c>
      <c r="C7" s="17" t="n">
        <v>2.5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0.00351136363636364</v>
      </c>
      <c r="F7" s="20" t="n">
        <f aca="false">C7*E7</f>
        <v>0.00877840909090909</v>
      </c>
    </row>
    <row r="8" customFormat="false" ht="15" hidden="false" customHeight="false" outlineLevel="0" collapsed="false">
      <c r="A8" s="2" t="n">
        <v>4</v>
      </c>
      <c r="B8" s="2" t="s">
        <v>142</v>
      </c>
      <c r="C8" s="17" t="n">
        <v>1.25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0.00375</v>
      </c>
      <c r="F8" s="20" t="n">
        <f aca="false">C8*E8</f>
        <v>0.0046875</v>
      </c>
    </row>
    <row r="9" customFormat="false" ht="15" hidden="false" customHeight="false" outlineLevel="0" collapsed="false">
      <c r="A9" s="2"/>
      <c r="B9" s="4" t="s">
        <v>191</v>
      </c>
      <c r="C9" s="2"/>
      <c r="D9" s="2"/>
      <c r="E9" s="2"/>
      <c r="F9" s="21" t="n">
        <f aca="false">SUM(F5:F8)</f>
        <v>0.680890909090909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4" t="s">
        <v>192</v>
      </c>
      <c r="C11" s="44" t="s">
        <v>4</v>
      </c>
      <c r="D11" s="22" t="s">
        <v>5</v>
      </c>
      <c r="E11" s="23" t="s">
        <v>6</v>
      </c>
      <c r="F11" s="24" t="s">
        <v>7</v>
      </c>
    </row>
    <row r="12" customFormat="false" ht="15" hidden="false" customHeight="false" outlineLevel="0" collapsed="false">
      <c r="A12" s="2"/>
      <c r="B12" s="25" t="s">
        <v>212</v>
      </c>
      <c r="C12" s="45" t="n">
        <v>16</v>
      </c>
      <c r="D12" s="26" t="n">
        <v>11</v>
      </c>
      <c r="E12" s="27" t="n">
        <v>5</v>
      </c>
      <c r="F12" s="28" t="n">
        <v>3</v>
      </c>
    </row>
    <row r="13" customFormat="false" ht="15" hidden="false" customHeight="false" outlineLevel="0" collapsed="false">
      <c r="A13" s="2"/>
      <c r="B13" s="25" t="s">
        <v>194</v>
      </c>
      <c r="C13" s="46" t="n">
        <f aca="false">IF(C12=0,0,$F$9/C12)</f>
        <v>0.0425556818181818</v>
      </c>
      <c r="D13" s="29" t="n">
        <f aca="false">IF(D12=0,0,$F$9/D12)</f>
        <v>0.061899173553719</v>
      </c>
      <c r="E13" s="30" t="n">
        <f aca="false">IF(E12=0,0,$F$9/E12)</f>
        <v>0.136178181818182</v>
      </c>
      <c r="F13" s="31" t="n">
        <f aca="false">IF(F12=0,0,$F$9/F12)</f>
        <v>0.226963636363636</v>
      </c>
    </row>
    <row r="14" customFormat="false" ht="15" hidden="false" customHeight="false" outlineLevel="0" collapsed="false">
      <c r="A14" s="2"/>
      <c r="B14" s="25" t="s">
        <v>195</v>
      </c>
      <c r="C14" s="47" t="s">
        <v>175</v>
      </c>
      <c r="D14" s="32" t="s">
        <v>176</v>
      </c>
      <c r="E14" s="33" t="s">
        <v>177</v>
      </c>
      <c r="F14" s="34" t="s">
        <v>178</v>
      </c>
    </row>
    <row r="15" customFormat="false" ht="15" hidden="false" customHeight="false" outlineLevel="0" collapsed="false">
      <c r="A15" s="2"/>
      <c r="B15" s="25" t="s">
        <v>196</v>
      </c>
      <c r="C15" s="46" t="n">
        <f aca="false">IFERROR(INDEX(LIST!$G$2:$G$131,MATCH(C14,LIST!$B$2:$B$131,0)),0)</f>
        <v>0.025</v>
      </c>
      <c r="D15" s="29" t="n">
        <f aca="false">IFERROR(INDEX(LIST!$G$2:$G$131,MATCH(D14,LIST!$B$2:$B$131,0)),0)</f>
        <v>0.021</v>
      </c>
      <c r="E15" s="30" t="n">
        <f aca="false">IFERROR(INDEX(LIST!$G$2:$G$131,MATCH(E14,LIST!$B$2:$B$131,0)),0)</f>
        <v>0.0315</v>
      </c>
      <c r="F15" s="31" t="n">
        <f aca="false">IFERROR(INDEX(LIST!$G$2:$G$131,MATCH(F14,LIST!$B$2:$B$131,0)),0)</f>
        <v>0.116666666666667</v>
      </c>
    </row>
    <row r="16" customFormat="false" ht="15" hidden="false" customHeight="false" outlineLevel="0" collapsed="false">
      <c r="A16" s="2"/>
      <c r="B16" s="25" t="s">
        <v>197</v>
      </c>
      <c r="C16" s="45" t="n">
        <v>1</v>
      </c>
      <c r="D16" s="26" t="n">
        <v>1</v>
      </c>
      <c r="E16" s="27" t="n">
        <v>2</v>
      </c>
      <c r="F16" s="28" t="n">
        <v>3</v>
      </c>
    </row>
    <row r="17" customFormat="false" ht="15" hidden="false" customHeight="false" outlineLevel="0" collapsed="false">
      <c r="A17" s="2"/>
      <c r="B17" s="25" t="s">
        <v>198</v>
      </c>
      <c r="C17" s="46" t="n">
        <f aca="false">C16*IFERROR(INDEX(LIST!$G$2:$G$131,MATCH("SPOON",LIST!$B$2:$B$131,0)),0)</f>
        <v>0.0064</v>
      </c>
      <c r="D17" s="29" t="n">
        <f aca="false">D16*IFERROR(INDEX(LIST!$G$2:$G$131,MATCH("SPOON",LIST!$B$2:$B$131,0)),0)</f>
        <v>0.0064</v>
      </c>
      <c r="E17" s="30" t="n">
        <f aca="false">E16*IFERROR(INDEX(LIST!$G$2:$G$131,MATCH("SPOON",LIST!$B$2:$B$131,0)),0)</f>
        <v>0.0128</v>
      </c>
      <c r="F17" s="31" t="n">
        <f aca="false">F16*IFERROR(INDEX(LIST!$G$2:$G$131,MATCH("SPOON",LIST!$B$2:$B$131,0)),0)</f>
        <v>0.0192</v>
      </c>
    </row>
    <row r="18" customFormat="false" ht="15" hidden="false" customHeight="false" outlineLevel="0" collapsed="false">
      <c r="A18" s="2"/>
      <c r="B18" s="25" t="s">
        <v>199</v>
      </c>
      <c r="C18" s="45" t="n">
        <v>0</v>
      </c>
      <c r="D18" s="26" t="n">
        <v>0</v>
      </c>
      <c r="E18" s="27" t="n">
        <v>0</v>
      </c>
      <c r="F18" s="28" t="n">
        <v>0</v>
      </c>
    </row>
    <row r="19" customFormat="false" ht="15" hidden="false" customHeight="false" outlineLevel="0" collapsed="false">
      <c r="A19" s="2"/>
      <c r="B19" s="25" t="s">
        <v>200</v>
      </c>
      <c r="C19" s="46" t="n">
        <f aca="false">C18*IFERROR(INDEX(LIST!$G$2:$G$131,MATCH("Bread",LIST!$B$2:$B$131,0)),0)</f>
        <v>0</v>
      </c>
      <c r="D19" s="29" t="n">
        <f aca="false">D18*IFERROR(INDEX(LIST!$G$2:$G$131,MATCH("Bread",LIST!$B$2:$B$131,0)),0)</f>
        <v>0</v>
      </c>
      <c r="E19" s="30" t="n">
        <f aca="false">E18*IFERROR(INDEX(LIST!$G$2:$G$131,MATCH("Bread",LIST!$B$2:$B$131,0)),0)</f>
        <v>0</v>
      </c>
      <c r="F19" s="31" t="n">
        <f aca="false">F18*IFERROR(INDEX(LIST!$G$2:$G$131,MATCH("Bread",LIST!$B$2:$B$131,0)),0)</f>
        <v>0</v>
      </c>
    </row>
    <row r="20" customFormat="false" ht="15" hidden="false" customHeight="false" outlineLevel="0" collapsed="false">
      <c r="A20" s="2"/>
      <c r="B20" s="25" t="s">
        <v>201</v>
      </c>
      <c r="C20" s="47" t="s">
        <v>186</v>
      </c>
      <c r="D20" s="32" t="s">
        <v>183</v>
      </c>
      <c r="E20" s="33" t="s">
        <v>184</v>
      </c>
      <c r="F20" s="34" t="s">
        <v>185</v>
      </c>
    </row>
    <row r="21" customFormat="false" ht="15" hidden="false" customHeight="false" outlineLevel="0" collapsed="false">
      <c r="A21" s="2"/>
      <c r="B21" s="25" t="s">
        <v>202</v>
      </c>
      <c r="C21" s="46" t="n">
        <f aca="false">IFERROR(INDEX(LIST!$G$2:$G$131,MATCH(C20,LIST!$B$2:$B$131,0)),0)</f>
        <v>0.01</v>
      </c>
      <c r="D21" s="29" t="n">
        <f aca="false">IFERROR(INDEX(LIST!$G$2:$G$131,MATCH(D20,LIST!$B$2:$B$131,0)),0)</f>
        <v>0.02</v>
      </c>
      <c r="E21" s="30" t="n">
        <f aca="false">IFERROR(INDEX(LIST!$G$2:$G$131,MATCH(E20,LIST!$B$2:$B$131,0)),0)</f>
        <v>0.03</v>
      </c>
      <c r="F21" s="31" t="n">
        <f aca="false">IFERROR(INDEX(LIST!$G$2:$G$131,MATCH(F20,LIST!$B$2:$B$131,0)),0)</f>
        <v>0.04</v>
      </c>
    </row>
    <row r="22" customFormat="false" ht="15" hidden="false" customHeight="false" outlineLevel="0" collapsed="false">
      <c r="A22" s="2"/>
      <c r="B22" s="25" t="s">
        <v>203</v>
      </c>
      <c r="C22" s="48" t="n">
        <v>0</v>
      </c>
      <c r="D22" s="35" t="n">
        <v>0</v>
      </c>
      <c r="E22" s="36" t="n">
        <v>0</v>
      </c>
      <c r="F22" s="37" t="n">
        <v>0</v>
      </c>
    </row>
    <row r="23" customFormat="false" ht="15" hidden="false" customHeight="false" outlineLevel="0" collapsed="false">
      <c r="A23" s="2"/>
      <c r="B23" s="25" t="s">
        <v>204</v>
      </c>
      <c r="C23" s="46" t="n">
        <f aca="false">C15+C17+C19+C21+C22</f>
        <v>0.0414</v>
      </c>
      <c r="D23" s="29" t="n">
        <f aca="false">D15+D17+D19+D21+D22</f>
        <v>0.0474</v>
      </c>
      <c r="E23" s="30" t="n">
        <f aca="false">E15+E17+E19+E21+E22</f>
        <v>0.0743</v>
      </c>
      <c r="F23" s="31" t="n">
        <f aca="false">F15+F17+F19+F21+F22</f>
        <v>0.175866666666667</v>
      </c>
    </row>
    <row r="24" customFormat="false" ht="15" hidden="false" customHeight="false" outlineLevel="0" collapsed="false">
      <c r="A24" s="2"/>
      <c r="B24" s="4" t="s">
        <v>205</v>
      </c>
      <c r="C24" s="49" t="n">
        <f aca="false">C13+C23</f>
        <v>0.0839556818181818</v>
      </c>
      <c r="D24" s="38" t="n">
        <f aca="false">D13+D23</f>
        <v>0.109299173553719</v>
      </c>
      <c r="E24" s="39" t="n">
        <f aca="false">E13+E23</f>
        <v>0.210478181818182</v>
      </c>
      <c r="F24" s="40" t="n">
        <f aca="false">F13+F23</f>
        <v>0.402830303030303</v>
      </c>
    </row>
    <row r="25" customFormat="false" ht="15" hidden="false" customHeight="false" outlineLevel="0" collapsed="false">
      <c r="A25" s="2"/>
      <c r="B25" s="25" t="s">
        <v>9</v>
      </c>
      <c r="C25" s="48" t="n">
        <v>0.4</v>
      </c>
      <c r="D25" s="35" t="n">
        <v>0.6</v>
      </c>
      <c r="E25" s="36" t="n">
        <v>1</v>
      </c>
      <c r="F25" s="37" t="n">
        <v>1.8</v>
      </c>
    </row>
    <row r="26" customFormat="false" ht="15" hidden="false" customHeight="false" outlineLevel="0" collapsed="false">
      <c r="A26" s="2"/>
      <c r="B26" s="4" t="s">
        <v>206</v>
      </c>
      <c r="C26" s="50" t="n">
        <f aca="false">IF(C25=0,"",C24/C25)</f>
        <v>0.209889204545455</v>
      </c>
      <c r="D26" s="41" t="n">
        <f aca="false">IF(D25=0,"",D24/D25)</f>
        <v>0.182165289256198</v>
      </c>
      <c r="E26" s="42" t="n">
        <f aca="false">IF(E25=0,"",E24/E25)</f>
        <v>0.210478181818182</v>
      </c>
      <c r="F26" s="43" t="n">
        <f aca="false">IF(F25=0,"",F24/F25)</f>
        <v>0.223794612794613</v>
      </c>
    </row>
    <row r="27" customFormat="false" ht="15" hidden="false" customHeight="false" outlineLevel="0" collapsed="false">
      <c r="A27" s="2"/>
      <c r="B27" s="25" t="s">
        <v>11</v>
      </c>
      <c r="C27" s="48" t="n">
        <v>0.4</v>
      </c>
      <c r="D27" s="35" t="n">
        <v>0.75</v>
      </c>
      <c r="E27" s="36" t="n">
        <v>1.2</v>
      </c>
      <c r="F27" s="37" t="n">
        <v>2.2</v>
      </c>
    </row>
    <row r="28" customFormat="false" ht="15" hidden="false" customHeight="false" outlineLevel="0" collapsed="false">
      <c r="A28" s="2"/>
      <c r="B28" s="4" t="s">
        <v>207</v>
      </c>
      <c r="C28" s="50" t="n">
        <f aca="false">IF(N(C27)=0,"",C24/C27)</f>
        <v>0.209889204545455</v>
      </c>
      <c r="D28" s="41" t="n">
        <f aca="false">IF(N(D27)=0,"",D24/D27)</f>
        <v>0.145732231404959</v>
      </c>
      <c r="E28" s="42" t="n">
        <f aca="false">IF(N(E27)=0,"",E24/E27)</f>
        <v>0.175398484848485</v>
      </c>
      <c r="F28" s="43" t="n">
        <f aca="false">IF(N(F27)=0,"",F24/F27)</f>
        <v>0.183104683195592</v>
      </c>
    </row>
    <row r="29" customFormat="false" ht="15" hidden="false" customHeight="false" outlineLevel="0" collapsed="false">
      <c r="A29" s="2"/>
      <c r="B29" s="25" t="s">
        <v>208</v>
      </c>
      <c r="C29" s="46" t="n">
        <f aca="false">C25-C24</f>
        <v>0.316044318181818</v>
      </c>
      <c r="D29" s="29" t="n">
        <f aca="false">D25-D24</f>
        <v>0.490700826446281</v>
      </c>
      <c r="E29" s="30" t="n">
        <f aca="false">E25-E24</f>
        <v>0.789521818181818</v>
      </c>
      <c r="F29" s="31" t="n">
        <f aca="false">F25-F24</f>
        <v>1.3971696969697</v>
      </c>
    </row>
    <row r="30" customFormat="false" ht="15" hidden="false" customHeight="false" outlineLevel="0" collapsed="false">
      <c r="A30" s="2"/>
      <c r="B30" s="25" t="s">
        <v>209</v>
      </c>
      <c r="C30" s="46" t="n">
        <f aca="false">IF(N(C27)=0,"",C27-C24)</f>
        <v>0.316044318181818</v>
      </c>
      <c r="D30" s="29" t="n">
        <f aca="false">IF(N(D27)=0,"",D27-D24)</f>
        <v>0.640700826446281</v>
      </c>
      <c r="E30" s="30" t="n">
        <f aca="false">IF(N(E27)=0,"",E27-E24)</f>
        <v>0.989521818181818</v>
      </c>
      <c r="F30" s="31" t="n">
        <f aca="false">IF(N(F27)=0,"",F27-F24)</f>
        <v>1.7971696969697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87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0.000454</v>
      </c>
      <c r="F5" s="20" t="n">
        <f aca="false">C5*E5</f>
        <v>0.454</v>
      </c>
    </row>
    <row r="6" customFormat="false" ht="15" hidden="false" customHeight="false" outlineLevel="0" collapsed="false">
      <c r="A6" s="2" t="n">
        <v>2</v>
      </c>
      <c r="B6" s="2" t="s">
        <v>125</v>
      </c>
      <c r="C6" s="17" t="n">
        <v>150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0.0005975</v>
      </c>
      <c r="F6" s="20" t="n">
        <f aca="false">C6*E6</f>
        <v>0.089625</v>
      </c>
    </row>
    <row r="7" customFormat="false" ht="15" hidden="false" customHeight="false" outlineLevel="0" collapsed="false">
      <c r="A7" s="2" t="n">
        <v>3</v>
      </c>
      <c r="B7" s="2" t="s">
        <v>76</v>
      </c>
      <c r="C7" s="17" t="n">
        <v>150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0.00045</v>
      </c>
      <c r="F7" s="20" t="n">
        <f aca="false">C7*E7</f>
        <v>0.0675</v>
      </c>
    </row>
    <row r="8" customFormat="false" ht="15" hidden="false" customHeight="false" outlineLevel="0" collapsed="false">
      <c r="A8" s="2" t="n">
        <v>4</v>
      </c>
      <c r="B8" s="2" t="s">
        <v>59</v>
      </c>
      <c r="C8" s="17" t="n">
        <v>45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0.00172727272727273</v>
      </c>
      <c r="F8" s="20" t="n">
        <f aca="false">C8*E8</f>
        <v>0.0777272727272727</v>
      </c>
    </row>
    <row r="9" customFormat="false" ht="15" hidden="false" customHeight="false" outlineLevel="0" collapsed="false">
      <c r="A9" s="2" t="n">
        <v>5</v>
      </c>
      <c r="B9" s="2" t="s">
        <v>65</v>
      </c>
      <c r="C9" s="17" t="n">
        <v>45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0.0015</v>
      </c>
      <c r="F9" s="20" t="n">
        <f aca="false">C9*E9</f>
        <v>0.0675</v>
      </c>
    </row>
    <row r="10" customFormat="false" ht="15" hidden="false" customHeight="false" outlineLevel="0" collapsed="false">
      <c r="A10" s="2" t="n">
        <v>6</v>
      </c>
      <c r="B10" s="2" t="s">
        <v>79</v>
      </c>
      <c r="C10" s="17" t="n">
        <v>350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0.00036</v>
      </c>
      <c r="F10" s="20" t="n">
        <f aca="false">C10*E10</f>
        <v>0.126</v>
      </c>
    </row>
    <row r="11" customFormat="false" ht="15" hidden="false" customHeight="false" outlineLevel="0" collapsed="false">
      <c r="A11" s="2" t="n">
        <v>7</v>
      </c>
      <c r="B11" s="2" t="s">
        <v>71</v>
      </c>
      <c r="C11" s="17" t="n">
        <v>7.5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0.0008</v>
      </c>
      <c r="F11" s="20" t="n">
        <f aca="false">C11*E11</f>
        <v>0.006</v>
      </c>
    </row>
    <row r="12" customFormat="false" ht="15" hidden="false" customHeight="false" outlineLevel="0" collapsed="false">
      <c r="A12" s="2" t="n">
        <v>8</v>
      </c>
      <c r="B12" s="2" t="s">
        <v>69</v>
      </c>
      <c r="C12" s="17" t="n">
        <v>15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0.0012</v>
      </c>
      <c r="F12" s="20" t="n">
        <f aca="false">C12*E12</f>
        <v>0.018</v>
      </c>
    </row>
    <row r="13" customFormat="false" ht="15" hidden="false" customHeight="false" outlineLevel="0" collapsed="false">
      <c r="A13" s="2" t="n">
        <v>9</v>
      </c>
      <c r="B13" s="2" t="s">
        <v>81</v>
      </c>
      <c r="C13" s="17" t="n">
        <v>350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0.0005</v>
      </c>
      <c r="F13" s="20" t="n">
        <f aca="false">C13*E13</f>
        <v>0.175</v>
      </c>
    </row>
    <row r="14" customFormat="false" ht="15" hidden="false" customHeight="false" outlineLevel="0" collapsed="false">
      <c r="A14" s="2" t="n">
        <v>10</v>
      </c>
      <c r="B14" s="2" t="s">
        <v>99</v>
      </c>
      <c r="C14" s="17" t="n">
        <v>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0.0018</v>
      </c>
      <c r="F14" s="20" t="n">
        <f aca="false">C14*E14</f>
        <v>0.009</v>
      </c>
    </row>
    <row r="15" customFormat="false" ht="15" hidden="false" customHeight="false" outlineLevel="0" collapsed="false">
      <c r="A15" s="2" t="n">
        <v>11</v>
      </c>
      <c r="B15" s="2" t="s">
        <v>150</v>
      </c>
      <c r="C15" s="17" t="n">
        <v>135</v>
      </c>
      <c r="D15" s="2" t="str">
        <f aca="false">IFERROR(INDEX(LIST!$F$2:$F$131,MATCH(B15,LIST!$B$2:$B$131,0)),"")</f>
        <v>ml</v>
      </c>
      <c r="E15" s="18" t="n">
        <f aca="false">IFERROR(INDEX(LIST!$G$2:$G$131,MATCH(B15,LIST!$B$2:$B$131,0)),0)</f>
        <v>0.000594</v>
      </c>
      <c r="F15" s="20" t="n">
        <f aca="false">C15*E15</f>
        <v>0.08019</v>
      </c>
    </row>
    <row r="16" customFormat="false" ht="15" hidden="false" customHeight="false" outlineLevel="0" collapsed="false">
      <c r="A16" s="2" t="n">
        <v>12</v>
      </c>
      <c r="B16" s="2" t="s">
        <v>164</v>
      </c>
      <c r="C16" s="17" t="n">
        <v>20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0.0006</v>
      </c>
      <c r="F16" s="20" t="n">
        <f aca="false">C16*E16</f>
        <v>0.012</v>
      </c>
    </row>
    <row r="17" customFormat="false" ht="15" hidden="false" customHeight="false" outlineLevel="0" collapsed="false">
      <c r="A17" s="2" t="n">
        <v>13</v>
      </c>
      <c r="B17" s="2" t="s">
        <v>102</v>
      </c>
      <c r="C17" s="17" t="n">
        <v>7.5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0.002818</v>
      </c>
      <c r="F17" s="20" t="n">
        <f aca="false">C17*E17</f>
        <v>0.021135</v>
      </c>
    </row>
    <row r="18" customFormat="false" ht="15" hidden="false" customHeight="false" outlineLevel="0" collapsed="false">
      <c r="A18" s="2" t="n">
        <v>14</v>
      </c>
      <c r="B18" s="2" t="s">
        <v>115</v>
      </c>
      <c r="C18" s="17" t="n">
        <v>15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0.000165</v>
      </c>
      <c r="F18" s="20" t="n">
        <f aca="false">C18*E18</f>
        <v>0.002475</v>
      </c>
    </row>
    <row r="19" customFormat="false" ht="15" hidden="false" customHeight="false" outlineLevel="0" collapsed="false">
      <c r="A19" s="2" t="n">
        <v>15</v>
      </c>
      <c r="B19" s="2" t="s">
        <v>117</v>
      </c>
      <c r="C19" s="17" t="n">
        <v>15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0.0018</v>
      </c>
      <c r="F19" s="20" t="n">
        <f aca="false">C19*E19</f>
        <v>0.027</v>
      </c>
    </row>
    <row r="20" customFormat="false" ht="15" hidden="false" customHeight="false" outlineLevel="0" collapsed="false">
      <c r="A20" s="2" t="n">
        <v>16</v>
      </c>
      <c r="B20" s="2" t="s">
        <v>108</v>
      </c>
      <c r="C20" s="17" t="n">
        <v>10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0.00165</v>
      </c>
      <c r="F20" s="20" t="n">
        <f aca="false">C20*E20</f>
        <v>0.0165</v>
      </c>
    </row>
    <row r="21" customFormat="false" ht="15" hidden="false" customHeight="false" outlineLevel="0" collapsed="false">
      <c r="A21" s="2" t="n">
        <v>17</v>
      </c>
      <c r="B21" s="2" t="s">
        <v>118</v>
      </c>
      <c r="C21" s="17" t="n">
        <v>1.5</v>
      </c>
      <c r="D21" s="2" t="str">
        <f aca="false">IFERROR(INDEX(LIST!$F$2:$F$131,MATCH(B21,LIST!$B$2:$B$131,0)),"")</f>
        <v>g</v>
      </c>
      <c r="E21" s="18" t="n">
        <f aca="false">IFERROR(INDEX(LIST!$G$2:$G$131,MATCH(B21,LIST!$B$2:$B$131,0)),0)</f>
        <v>0.004</v>
      </c>
      <c r="F21" s="20" t="n">
        <f aca="false">C21*E21</f>
        <v>0.006</v>
      </c>
    </row>
    <row r="22" customFormat="false" ht="15" hidden="false" customHeight="false" outlineLevel="0" collapsed="false">
      <c r="A22" s="2"/>
      <c r="B22" s="4" t="s">
        <v>191</v>
      </c>
      <c r="C22" s="2"/>
      <c r="D22" s="2"/>
      <c r="E22" s="2"/>
      <c r="F22" s="21" t="n">
        <f aca="false">SUM(F5:F21)</f>
        <v>1.25565227272727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2"/>
      <c r="B24" s="4" t="s">
        <v>192</v>
      </c>
      <c r="C24" s="44" t="s">
        <v>4</v>
      </c>
      <c r="D24" s="22" t="s">
        <v>5</v>
      </c>
      <c r="E24" s="23" t="s">
        <v>6</v>
      </c>
      <c r="F24" s="24" t="s">
        <v>7</v>
      </c>
    </row>
    <row r="25" customFormat="false" ht="15" hidden="false" customHeight="false" outlineLevel="0" collapsed="false">
      <c r="A25" s="2"/>
      <c r="B25" s="25" t="s">
        <v>212</v>
      </c>
      <c r="C25" s="45" t="n">
        <v>17</v>
      </c>
      <c r="D25" s="26" t="n">
        <v>12</v>
      </c>
      <c r="E25" s="27" t="n">
        <v>8</v>
      </c>
      <c r="F25" s="28" t="n">
        <v>4</v>
      </c>
    </row>
    <row r="26" customFormat="false" ht="15" hidden="false" customHeight="false" outlineLevel="0" collapsed="false">
      <c r="A26" s="2"/>
      <c r="B26" s="25" t="s">
        <v>194</v>
      </c>
      <c r="C26" s="46" t="n">
        <f aca="false">IF(C25=0,0,$F$22/C25)</f>
        <v>0.0738618983957219</v>
      </c>
      <c r="D26" s="29" t="n">
        <f aca="false">IF(D25=0,0,$F$22/D25)</f>
        <v>0.104637689393939</v>
      </c>
      <c r="E26" s="30" t="n">
        <f aca="false">IF(E25=0,0,$F$22/E25)</f>
        <v>0.156956534090909</v>
      </c>
      <c r="F26" s="31" t="n">
        <f aca="false">IF(F25=0,0,$F$22/F25)</f>
        <v>0.313913068181818</v>
      </c>
    </row>
    <row r="27" customFormat="false" ht="15" hidden="false" customHeight="false" outlineLevel="0" collapsed="false">
      <c r="A27" s="2"/>
      <c r="B27" s="25" t="s">
        <v>195</v>
      </c>
      <c r="C27" s="47" t="s">
        <v>175</v>
      </c>
      <c r="D27" s="32" t="s">
        <v>176</v>
      </c>
      <c r="E27" s="33" t="s">
        <v>177</v>
      </c>
      <c r="F27" s="34" t="s">
        <v>178</v>
      </c>
    </row>
    <row r="28" customFormat="false" ht="15" hidden="false" customHeight="false" outlineLevel="0" collapsed="false">
      <c r="A28" s="2"/>
      <c r="B28" s="25" t="s">
        <v>196</v>
      </c>
      <c r="C28" s="46" t="n">
        <f aca="false">IFERROR(INDEX(LIST!$G$2:$G$131,MATCH(C27,LIST!$B$2:$B$131,0)),0)</f>
        <v>0.025</v>
      </c>
      <c r="D28" s="29" t="n">
        <f aca="false">IFERROR(INDEX(LIST!$G$2:$G$131,MATCH(D27,LIST!$B$2:$B$131,0)),0)</f>
        <v>0.021</v>
      </c>
      <c r="E28" s="30" t="n">
        <f aca="false">IFERROR(INDEX(LIST!$G$2:$G$131,MATCH(E27,LIST!$B$2:$B$131,0)),0)</f>
        <v>0.0315</v>
      </c>
      <c r="F28" s="31" t="n">
        <f aca="false">IFERROR(INDEX(LIST!$G$2:$G$131,MATCH(F27,LIST!$B$2:$B$131,0)),0)</f>
        <v>0.116666666666667</v>
      </c>
    </row>
    <row r="29" customFormat="false" ht="15" hidden="false" customHeight="false" outlineLevel="0" collapsed="false">
      <c r="A29" s="2"/>
      <c r="B29" s="25" t="s">
        <v>197</v>
      </c>
      <c r="C29" s="45" t="n">
        <v>1</v>
      </c>
      <c r="D29" s="26" t="n">
        <v>1</v>
      </c>
      <c r="E29" s="27" t="n">
        <v>2</v>
      </c>
      <c r="F29" s="28" t="n">
        <v>3</v>
      </c>
    </row>
    <row r="30" customFormat="false" ht="15" hidden="false" customHeight="false" outlineLevel="0" collapsed="false">
      <c r="A30" s="2"/>
      <c r="B30" s="25" t="s">
        <v>198</v>
      </c>
      <c r="C30" s="46" t="n">
        <f aca="false">C29*IFERROR(INDEX(LIST!$G$2:$G$131,MATCH("SPOON",LIST!$B$2:$B$131,0)),0)</f>
        <v>0.0064</v>
      </c>
      <c r="D30" s="29" t="n">
        <f aca="false">D29*IFERROR(INDEX(LIST!$G$2:$G$131,MATCH("SPOON",LIST!$B$2:$B$131,0)),0)</f>
        <v>0.0064</v>
      </c>
      <c r="E30" s="30" t="n">
        <f aca="false">E29*IFERROR(INDEX(LIST!$G$2:$G$131,MATCH("SPOON",LIST!$B$2:$B$131,0)),0)</f>
        <v>0.0128</v>
      </c>
      <c r="F30" s="31" t="n">
        <f aca="false">F29*IFERROR(INDEX(LIST!$G$2:$G$131,MATCH("SPOON",LIST!$B$2:$B$131,0)),0)</f>
        <v>0.0192</v>
      </c>
    </row>
    <row r="31" customFormat="false" ht="15" hidden="false" customHeight="false" outlineLevel="0" collapsed="false">
      <c r="A31" s="2"/>
      <c r="B31" s="25" t="s">
        <v>199</v>
      </c>
      <c r="C31" s="45" t="n">
        <v>0.5</v>
      </c>
      <c r="D31" s="26" t="n">
        <v>1</v>
      </c>
      <c r="E31" s="27" t="n">
        <v>2</v>
      </c>
      <c r="F31" s="28" t="n">
        <v>4</v>
      </c>
    </row>
    <row r="32" customFormat="false" ht="15" hidden="false" customHeight="false" outlineLevel="0" collapsed="false">
      <c r="A32" s="2"/>
      <c r="B32" s="25" t="s">
        <v>200</v>
      </c>
      <c r="C32" s="46" t="n">
        <f aca="false">C31*IFERROR(INDEX(LIST!$G$2:$G$131,MATCH("Bread",LIST!$B$2:$B$131,0)),0)</f>
        <v>0.006</v>
      </c>
      <c r="D32" s="29" t="n">
        <f aca="false">D31*IFERROR(INDEX(LIST!$G$2:$G$131,MATCH("Bread",LIST!$B$2:$B$131,0)),0)</f>
        <v>0.012</v>
      </c>
      <c r="E32" s="30" t="n">
        <f aca="false">E31*IFERROR(INDEX(LIST!$G$2:$G$131,MATCH("Bread",LIST!$B$2:$B$131,0)),0)</f>
        <v>0.024</v>
      </c>
      <c r="F32" s="31" t="n">
        <f aca="false">F31*IFERROR(INDEX(LIST!$G$2:$G$131,MATCH("Bread",LIST!$B$2:$B$131,0)),0)</f>
        <v>0.048</v>
      </c>
    </row>
    <row r="33" customFormat="false" ht="15" hidden="false" customHeight="false" outlineLevel="0" collapsed="false">
      <c r="A33" s="2"/>
      <c r="B33" s="25" t="s">
        <v>201</v>
      </c>
      <c r="C33" s="47" t="s">
        <v>186</v>
      </c>
      <c r="D33" s="32" t="s">
        <v>183</v>
      </c>
      <c r="E33" s="33" t="s">
        <v>184</v>
      </c>
      <c r="F33" s="34" t="s">
        <v>185</v>
      </c>
    </row>
    <row r="34" customFormat="false" ht="15" hidden="false" customHeight="false" outlineLevel="0" collapsed="false">
      <c r="A34" s="2"/>
      <c r="B34" s="25" t="s">
        <v>202</v>
      </c>
      <c r="C34" s="46" t="n">
        <f aca="false">IFERROR(INDEX(LIST!$G$2:$G$131,MATCH(C33,LIST!$B$2:$B$131,0)),0)</f>
        <v>0.01</v>
      </c>
      <c r="D34" s="29" t="n">
        <f aca="false">IFERROR(INDEX(LIST!$G$2:$G$131,MATCH(D33,LIST!$B$2:$B$131,0)),0)</f>
        <v>0.02</v>
      </c>
      <c r="E34" s="30" t="n">
        <f aca="false">IFERROR(INDEX(LIST!$G$2:$G$131,MATCH(E33,LIST!$B$2:$B$131,0)),0)</f>
        <v>0.03</v>
      </c>
      <c r="F34" s="31" t="n">
        <f aca="false">IFERROR(INDEX(LIST!$G$2:$G$131,MATCH(F33,LIST!$B$2:$B$131,0)),0)</f>
        <v>0.04</v>
      </c>
    </row>
    <row r="35" customFormat="false" ht="15" hidden="false" customHeight="false" outlineLevel="0" collapsed="false">
      <c r="A35" s="2"/>
      <c r="B35" s="25" t="s">
        <v>203</v>
      </c>
      <c r="C35" s="48" t="n">
        <v>0</v>
      </c>
      <c r="D35" s="35" t="n">
        <v>0</v>
      </c>
      <c r="E35" s="36" t="n">
        <v>0</v>
      </c>
      <c r="F35" s="37" t="n">
        <v>0</v>
      </c>
    </row>
    <row r="36" customFormat="false" ht="15" hidden="false" customHeight="false" outlineLevel="0" collapsed="false">
      <c r="A36" s="2"/>
      <c r="B36" s="25" t="s">
        <v>204</v>
      </c>
      <c r="C36" s="46" t="n">
        <f aca="false">C28+C30+C32+C34+C35</f>
        <v>0.0474</v>
      </c>
      <c r="D36" s="29" t="n">
        <f aca="false">D28+D30+D32+D34+D35</f>
        <v>0.0594</v>
      </c>
      <c r="E36" s="30" t="n">
        <f aca="false">E28+E30+E32+E34+E35</f>
        <v>0.0983</v>
      </c>
      <c r="F36" s="31" t="n">
        <f aca="false">F28+F30+F32+F34+F35</f>
        <v>0.223866666666667</v>
      </c>
    </row>
    <row r="37" customFormat="false" ht="15" hidden="false" customHeight="false" outlineLevel="0" collapsed="false">
      <c r="A37" s="2"/>
      <c r="B37" s="4" t="s">
        <v>205</v>
      </c>
      <c r="C37" s="49" t="n">
        <f aca="false">C26+C36</f>
        <v>0.121261898395722</v>
      </c>
      <c r="D37" s="38" t="n">
        <f aca="false">D26+D36</f>
        <v>0.164037689393939</v>
      </c>
      <c r="E37" s="39" t="n">
        <f aca="false">E26+E36</f>
        <v>0.255256534090909</v>
      </c>
      <c r="F37" s="40" t="n">
        <f aca="false">F26+F36</f>
        <v>0.537779734848485</v>
      </c>
    </row>
    <row r="38" customFormat="false" ht="15" hidden="false" customHeight="false" outlineLevel="0" collapsed="false">
      <c r="A38" s="2"/>
      <c r="B38" s="25" t="s">
        <v>9</v>
      </c>
      <c r="C38" s="48" t="n">
        <v>0.6</v>
      </c>
      <c r="D38" s="35" t="n">
        <v>1</v>
      </c>
      <c r="E38" s="36" t="n">
        <v>1.6</v>
      </c>
      <c r="F38" s="37" t="n">
        <v>2.9</v>
      </c>
    </row>
    <row r="39" customFormat="false" ht="15" hidden="false" customHeight="false" outlineLevel="0" collapsed="false">
      <c r="A39" s="2"/>
      <c r="B39" s="4" t="s">
        <v>206</v>
      </c>
      <c r="C39" s="50" t="n">
        <f aca="false">IF(C38=0,"",C37/C38)</f>
        <v>0.20210316399287</v>
      </c>
      <c r="D39" s="41" t="n">
        <f aca="false">IF(D38=0,"",D37/D38)</f>
        <v>0.164037689393939</v>
      </c>
      <c r="E39" s="42" t="n">
        <f aca="false">IF(E38=0,"",E37/E38)</f>
        <v>0.159535333806818</v>
      </c>
      <c r="F39" s="43" t="n">
        <f aca="false">IF(F38=0,"",F37/F38)</f>
        <v>0.185441287878788</v>
      </c>
    </row>
    <row r="40" customFormat="false" ht="15" hidden="false" customHeight="false" outlineLevel="0" collapsed="false">
      <c r="A40" s="2"/>
      <c r="B40" s="25" t="s">
        <v>11</v>
      </c>
      <c r="C40" s="48" t="n">
        <v>0.6</v>
      </c>
      <c r="D40" s="35" t="n">
        <v>1.35</v>
      </c>
      <c r="E40" s="36" t="n">
        <v>2.2</v>
      </c>
      <c r="F40" s="37" t="n">
        <v>3.8</v>
      </c>
    </row>
    <row r="41" customFormat="false" ht="15" hidden="false" customHeight="false" outlineLevel="0" collapsed="false">
      <c r="A41" s="2"/>
      <c r="B41" s="4" t="s">
        <v>207</v>
      </c>
      <c r="C41" s="50" t="n">
        <f aca="false">IF(N(C40)=0,"",C37/C40)</f>
        <v>0.20210316399287</v>
      </c>
      <c r="D41" s="41" t="n">
        <f aca="false">IF(N(D40)=0,"",D37/D40)</f>
        <v>0.121509399551066</v>
      </c>
      <c r="E41" s="42" t="n">
        <f aca="false">IF(N(E40)=0,"",E37/E40)</f>
        <v>0.11602569731405</v>
      </c>
      <c r="F41" s="43" t="n">
        <f aca="false">IF(N(F40)=0,"",F37/F40)</f>
        <v>0.141520982854864</v>
      </c>
    </row>
    <row r="42" customFormat="false" ht="15" hidden="false" customHeight="false" outlineLevel="0" collapsed="false">
      <c r="A42" s="2"/>
      <c r="B42" s="25" t="s">
        <v>208</v>
      </c>
      <c r="C42" s="46" t="n">
        <f aca="false">C38-C37</f>
        <v>0.478738101604278</v>
      </c>
      <c r="D42" s="29" t="n">
        <f aca="false">D38-D37</f>
        <v>0.835962310606061</v>
      </c>
      <c r="E42" s="30" t="n">
        <f aca="false">E38-E37</f>
        <v>1.34474346590909</v>
      </c>
      <c r="F42" s="31" t="n">
        <f aca="false">F38-F37</f>
        <v>2.36222026515152</v>
      </c>
    </row>
    <row r="43" customFormat="false" ht="15" hidden="false" customHeight="false" outlineLevel="0" collapsed="false">
      <c r="A43" s="2"/>
      <c r="B43" s="25" t="s">
        <v>209</v>
      </c>
      <c r="C43" s="46" t="n">
        <f aca="false">IF(N(C40)=0,"",C40-C37)</f>
        <v>0.478738101604278</v>
      </c>
      <c r="D43" s="29" t="n">
        <f aca="false">IF(N(D40)=0,"",D40-D37)</f>
        <v>1.18596231060606</v>
      </c>
      <c r="E43" s="30" t="n">
        <f aca="false">IF(N(E40)=0,"",E40-E37)</f>
        <v>1.94474346590909</v>
      </c>
      <c r="F43" s="31" t="n">
        <f aca="false">IF(N(F40)=0,"",F40-F37)</f>
        <v>3.26222026515152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83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0.00155</v>
      </c>
      <c r="F5" s="20" t="n">
        <f aca="false">C5*E5</f>
        <v>1.55</v>
      </c>
    </row>
    <row r="6" customFormat="false" ht="15" hidden="false" customHeight="false" outlineLevel="0" collapsed="false">
      <c r="A6" s="2" t="n">
        <v>2</v>
      </c>
      <c r="B6" s="2" t="s">
        <v>115</v>
      </c>
      <c r="C6" s="17" t="n">
        <v>45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0.000165</v>
      </c>
      <c r="F6" s="20" t="n">
        <f aca="false">C6*E6</f>
        <v>0.007425</v>
      </c>
    </row>
    <row r="7" customFormat="false" ht="15" hidden="false" customHeight="false" outlineLevel="0" collapsed="false">
      <c r="A7" s="2" t="n">
        <v>3</v>
      </c>
      <c r="B7" s="2" t="s">
        <v>129</v>
      </c>
      <c r="C7" s="17" t="n">
        <v>2.5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0.00351136363636364</v>
      </c>
      <c r="F7" s="20" t="n">
        <f aca="false">C7*E7</f>
        <v>0.00877840909090909</v>
      </c>
    </row>
    <row r="8" customFormat="false" ht="15" hidden="false" customHeight="false" outlineLevel="0" collapsed="false">
      <c r="A8" s="2" t="n">
        <v>4</v>
      </c>
      <c r="B8" s="2" t="s">
        <v>142</v>
      </c>
      <c r="C8" s="17" t="n">
        <v>1.25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0.00375</v>
      </c>
      <c r="F8" s="20" t="n">
        <f aca="false">C8*E8</f>
        <v>0.0046875</v>
      </c>
    </row>
    <row r="9" customFormat="false" ht="15" hidden="false" customHeight="false" outlineLevel="0" collapsed="false">
      <c r="A9" s="2"/>
      <c r="B9" s="4" t="s">
        <v>191</v>
      </c>
      <c r="C9" s="2"/>
      <c r="D9" s="2"/>
      <c r="E9" s="2"/>
      <c r="F9" s="21" t="n">
        <f aca="false">SUM(F5:F8)</f>
        <v>1.57089090909091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4" t="s">
        <v>192</v>
      </c>
      <c r="C11" s="44" t="s">
        <v>4</v>
      </c>
      <c r="D11" s="22" t="s">
        <v>5</v>
      </c>
      <c r="E11" s="23" t="s">
        <v>6</v>
      </c>
      <c r="F11" s="24" t="s">
        <v>7</v>
      </c>
    </row>
    <row r="12" customFormat="false" ht="15" hidden="false" customHeight="false" outlineLevel="0" collapsed="false">
      <c r="A12" s="2"/>
      <c r="B12" s="25" t="s">
        <v>212</v>
      </c>
      <c r="C12" s="45" t="n">
        <v>15</v>
      </c>
      <c r="D12" s="26" t="n">
        <v>9</v>
      </c>
      <c r="E12" s="27" t="n">
        <v>6</v>
      </c>
      <c r="F12" s="28" t="n">
        <v>3</v>
      </c>
    </row>
    <row r="13" customFormat="false" ht="15" hidden="false" customHeight="false" outlineLevel="0" collapsed="false">
      <c r="A13" s="2"/>
      <c r="B13" s="25" t="s">
        <v>194</v>
      </c>
      <c r="C13" s="46" t="n">
        <f aca="false">IF(C12=0,0,$F$9/C12)</f>
        <v>0.104726060606061</v>
      </c>
      <c r="D13" s="29" t="n">
        <f aca="false">IF(D12=0,0,$F$9/D12)</f>
        <v>0.174543434343434</v>
      </c>
      <c r="E13" s="30" t="n">
        <f aca="false">IF(E12=0,0,$F$9/E12)</f>
        <v>0.261815151515152</v>
      </c>
      <c r="F13" s="31" t="n">
        <f aca="false">IF(F12=0,0,$F$9/F12)</f>
        <v>0.523630303030303</v>
      </c>
    </row>
    <row r="14" customFormat="false" ht="15" hidden="false" customHeight="false" outlineLevel="0" collapsed="false">
      <c r="A14" s="2"/>
      <c r="B14" s="25" t="s">
        <v>195</v>
      </c>
      <c r="C14" s="47" t="s">
        <v>175</v>
      </c>
      <c r="D14" s="32" t="s">
        <v>176</v>
      </c>
      <c r="E14" s="33" t="s">
        <v>177</v>
      </c>
      <c r="F14" s="34" t="s">
        <v>178</v>
      </c>
    </row>
    <row r="15" customFormat="false" ht="15" hidden="false" customHeight="false" outlineLevel="0" collapsed="false">
      <c r="A15" s="2"/>
      <c r="B15" s="25" t="s">
        <v>196</v>
      </c>
      <c r="C15" s="46" t="n">
        <f aca="false">IFERROR(INDEX(LIST!$G$2:$G$131,MATCH(C14,LIST!$B$2:$B$131,0)),0)</f>
        <v>0.025</v>
      </c>
      <c r="D15" s="29" t="n">
        <f aca="false">IFERROR(INDEX(LIST!$G$2:$G$131,MATCH(D14,LIST!$B$2:$B$131,0)),0)</f>
        <v>0.021</v>
      </c>
      <c r="E15" s="30" t="n">
        <f aca="false">IFERROR(INDEX(LIST!$G$2:$G$131,MATCH(E14,LIST!$B$2:$B$131,0)),0)</f>
        <v>0.0315</v>
      </c>
      <c r="F15" s="31" t="n">
        <f aca="false">IFERROR(INDEX(LIST!$G$2:$G$131,MATCH(F14,LIST!$B$2:$B$131,0)),0)</f>
        <v>0.116666666666667</v>
      </c>
    </row>
    <row r="16" customFormat="false" ht="15" hidden="false" customHeight="false" outlineLevel="0" collapsed="false">
      <c r="A16" s="2"/>
      <c r="B16" s="25" t="s">
        <v>197</v>
      </c>
      <c r="C16" s="45" t="n">
        <v>1</v>
      </c>
      <c r="D16" s="26" t="n">
        <v>1</v>
      </c>
      <c r="E16" s="27" t="n">
        <v>2</v>
      </c>
      <c r="F16" s="28" t="n">
        <v>3</v>
      </c>
    </row>
    <row r="17" customFormat="false" ht="15" hidden="false" customHeight="false" outlineLevel="0" collapsed="false">
      <c r="A17" s="2"/>
      <c r="B17" s="25" t="s">
        <v>198</v>
      </c>
      <c r="C17" s="46" t="n">
        <f aca="false">C16*IFERROR(INDEX(LIST!$G$2:$G$131,MATCH("SPOON",LIST!$B$2:$B$131,0)),0)</f>
        <v>0.0064</v>
      </c>
      <c r="D17" s="29" t="n">
        <f aca="false">D16*IFERROR(INDEX(LIST!$G$2:$G$131,MATCH("SPOON",LIST!$B$2:$B$131,0)),0)</f>
        <v>0.0064</v>
      </c>
      <c r="E17" s="30" t="n">
        <f aca="false">E16*IFERROR(INDEX(LIST!$G$2:$G$131,MATCH("SPOON",LIST!$B$2:$B$131,0)),0)</f>
        <v>0.0128</v>
      </c>
      <c r="F17" s="31" t="n">
        <f aca="false">F16*IFERROR(INDEX(LIST!$G$2:$G$131,MATCH("SPOON",LIST!$B$2:$B$131,0)),0)</f>
        <v>0.0192</v>
      </c>
    </row>
    <row r="18" customFormat="false" ht="15" hidden="false" customHeight="false" outlineLevel="0" collapsed="false">
      <c r="A18" s="2"/>
      <c r="B18" s="25" t="s">
        <v>199</v>
      </c>
      <c r="C18" s="45" t="n">
        <v>0</v>
      </c>
      <c r="D18" s="26" t="n">
        <v>0</v>
      </c>
      <c r="E18" s="27" t="n">
        <v>0</v>
      </c>
      <c r="F18" s="28" t="n">
        <v>0</v>
      </c>
    </row>
    <row r="19" customFormat="false" ht="15" hidden="false" customHeight="false" outlineLevel="0" collapsed="false">
      <c r="A19" s="2"/>
      <c r="B19" s="25" t="s">
        <v>200</v>
      </c>
      <c r="C19" s="46" t="n">
        <f aca="false">C18*IFERROR(INDEX(LIST!$G$2:$G$131,MATCH("Bread",LIST!$B$2:$B$131,0)),0)</f>
        <v>0</v>
      </c>
      <c r="D19" s="29" t="n">
        <f aca="false">D18*IFERROR(INDEX(LIST!$G$2:$G$131,MATCH("Bread",LIST!$B$2:$B$131,0)),0)</f>
        <v>0</v>
      </c>
      <c r="E19" s="30" t="n">
        <f aca="false">E18*IFERROR(INDEX(LIST!$G$2:$G$131,MATCH("Bread",LIST!$B$2:$B$131,0)),0)</f>
        <v>0</v>
      </c>
      <c r="F19" s="31" t="n">
        <f aca="false">F18*IFERROR(INDEX(LIST!$G$2:$G$131,MATCH("Bread",LIST!$B$2:$B$131,0)),0)</f>
        <v>0</v>
      </c>
    </row>
    <row r="20" customFormat="false" ht="15" hidden="false" customHeight="false" outlineLevel="0" collapsed="false">
      <c r="A20" s="2"/>
      <c r="B20" s="25" t="s">
        <v>201</v>
      </c>
      <c r="C20" s="47" t="s">
        <v>186</v>
      </c>
      <c r="D20" s="32" t="s">
        <v>183</v>
      </c>
      <c r="E20" s="33" t="s">
        <v>184</v>
      </c>
      <c r="F20" s="34" t="s">
        <v>185</v>
      </c>
    </row>
    <row r="21" customFormat="false" ht="15" hidden="false" customHeight="false" outlineLevel="0" collapsed="false">
      <c r="A21" s="2"/>
      <c r="B21" s="25" t="s">
        <v>202</v>
      </c>
      <c r="C21" s="46" t="n">
        <f aca="false">IFERROR(INDEX(LIST!$G$2:$G$131,MATCH(C20,LIST!$B$2:$B$131,0)),0)</f>
        <v>0.01</v>
      </c>
      <c r="D21" s="29" t="n">
        <f aca="false">IFERROR(INDEX(LIST!$G$2:$G$131,MATCH(D20,LIST!$B$2:$B$131,0)),0)</f>
        <v>0.02</v>
      </c>
      <c r="E21" s="30" t="n">
        <f aca="false">IFERROR(INDEX(LIST!$G$2:$G$131,MATCH(E20,LIST!$B$2:$B$131,0)),0)</f>
        <v>0.03</v>
      </c>
      <c r="F21" s="31" t="n">
        <f aca="false">IFERROR(INDEX(LIST!$G$2:$G$131,MATCH(F20,LIST!$B$2:$B$131,0)),0)</f>
        <v>0.04</v>
      </c>
    </row>
    <row r="22" customFormat="false" ht="15" hidden="false" customHeight="false" outlineLevel="0" collapsed="false">
      <c r="A22" s="2"/>
      <c r="B22" s="25" t="s">
        <v>203</v>
      </c>
      <c r="C22" s="48" t="n">
        <v>0</v>
      </c>
      <c r="D22" s="35" t="n">
        <v>0</v>
      </c>
      <c r="E22" s="36" t="n">
        <v>0</v>
      </c>
      <c r="F22" s="37" t="n">
        <v>0</v>
      </c>
    </row>
    <row r="23" customFormat="false" ht="15" hidden="false" customHeight="false" outlineLevel="0" collapsed="false">
      <c r="A23" s="2"/>
      <c r="B23" s="25" t="s">
        <v>204</v>
      </c>
      <c r="C23" s="46" t="n">
        <f aca="false">C15+C17+C19+C21+C22</f>
        <v>0.0414</v>
      </c>
      <c r="D23" s="29" t="n">
        <f aca="false">D15+D17+D19+D21+D22</f>
        <v>0.0474</v>
      </c>
      <c r="E23" s="30" t="n">
        <f aca="false">E15+E17+E19+E21+E22</f>
        <v>0.0743</v>
      </c>
      <c r="F23" s="31" t="n">
        <f aca="false">F15+F17+F19+F21+F22</f>
        <v>0.175866666666667</v>
      </c>
    </row>
    <row r="24" customFormat="false" ht="15" hidden="false" customHeight="false" outlineLevel="0" collapsed="false">
      <c r="A24" s="2"/>
      <c r="B24" s="4" t="s">
        <v>205</v>
      </c>
      <c r="C24" s="49" t="n">
        <f aca="false">C13+C23</f>
        <v>0.146126060606061</v>
      </c>
      <c r="D24" s="38" t="n">
        <f aca="false">D13+D23</f>
        <v>0.221943434343434</v>
      </c>
      <c r="E24" s="39" t="n">
        <f aca="false">E13+E23</f>
        <v>0.336115151515152</v>
      </c>
      <c r="F24" s="40" t="n">
        <f aca="false">F13+F23</f>
        <v>0.69949696969697</v>
      </c>
    </row>
    <row r="25" customFormat="false" ht="15" hidden="false" customHeight="false" outlineLevel="0" collapsed="false">
      <c r="A25" s="2"/>
      <c r="B25" s="25" t="s">
        <v>9</v>
      </c>
      <c r="C25" s="48" t="n">
        <v>0.4</v>
      </c>
      <c r="D25" s="35" t="n">
        <v>0.6</v>
      </c>
      <c r="E25" s="36" t="n">
        <v>1</v>
      </c>
      <c r="F25" s="37" t="n">
        <v>1.9</v>
      </c>
    </row>
    <row r="26" customFormat="false" ht="15" hidden="false" customHeight="false" outlineLevel="0" collapsed="false">
      <c r="A26" s="2"/>
      <c r="B26" s="4" t="s">
        <v>206</v>
      </c>
      <c r="C26" s="50" t="n">
        <f aca="false">IF(C25=0,"",C24/C25)</f>
        <v>0.365315151515152</v>
      </c>
      <c r="D26" s="41" t="n">
        <f aca="false">IF(D25=0,"",D24/D25)</f>
        <v>0.369905723905724</v>
      </c>
      <c r="E26" s="42" t="n">
        <f aca="false">IF(E25=0,"",E24/E25)</f>
        <v>0.336115151515152</v>
      </c>
      <c r="F26" s="43" t="n">
        <f aca="false">IF(F25=0,"",F24/F25)</f>
        <v>0.36815629984051</v>
      </c>
    </row>
    <row r="27" customFormat="false" ht="15" hidden="false" customHeight="false" outlineLevel="0" collapsed="false">
      <c r="A27" s="2"/>
      <c r="B27" s="25" t="s">
        <v>11</v>
      </c>
      <c r="C27" s="48" t="n">
        <v>0.4</v>
      </c>
      <c r="D27" s="35" t="n">
        <v>0.75</v>
      </c>
      <c r="E27" s="36" t="n">
        <v>1.2</v>
      </c>
      <c r="F27" s="37" t="n">
        <v>2.2</v>
      </c>
    </row>
    <row r="28" customFormat="false" ht="15" hidden="false" customHeight="false" outlineLevel="0" collapsed="false">
      <c r="A28" s="2"/>
      <c r="B28" s="4" t="s">
        <v>207</v>
      </c>
      <c r="C28" s="50" t="n">
        <f aca="false">IF(N(C27)=0,"",C24/C27)</f>
        <v>0.365315151515152</v>
      </c>
      <c r="D28" s="41" t="n">
        <f aca="false">IF(N(D27)=0,"",D24/D27)</f>
        <v>0.295924579124579</v>
      </c>
      <c r="E28" s="42" t="n">
        <f aca="false">IF(N(E27)=0,"",E24/E27)</f>
        <v>0.28009595959596</v>
      </c>
      <c r="F28" s="43" t="n">
        <f aca="false">IF(N(F27)=0,"",F24/F27)</f>
        <v>0.317953168044077</v>
      </c>
    </row>
    <row r="29" customFormat="false" ht="15" hidden="false" customHeight="false" outlineLevel="0" collapsed="false">
      <c r="A29" s="2"/>
      <c r="B29" s="25" t="s">
        <v>208</v>
      </c>
      <c r="C29" s="46" t="n">
        <f aca="false">C25-C24</f>
        <v>0.253873939393939</v>
      </c>
      <c r="D29" s="29" t="n">
        <f aca="false">D25-D24</f>
        <v>0.378056565656566</v>
      </c>
      <c r="E29" s="30" t="n">
        <f aca="false">E25-E24</f>
        <v>0.663884848484849</v>
      </c>
      <c r="F29" s="31" t="n">
        <f aca="false">F25-F24</f>
        <v>1.20050303030303</v>
      </c>
    </row>
    <row r="30" customFormat="false" ht="15" hidden="false" customHeight="false" outlineLevel="0" collapsed="false">
      <c r="A30" s="2"/>
      <c r="B30" s="25" t="s">
        <v>209</v>
      </c>
      <c r="C30" s="46" t="n">
        <f aca="false">IF(N(C27)=0,"",C27-C24)</f>
        <v>0.253873939393939</v>
      </c>
      <c r="D30" s="29" t="n">
        <f aca="false">IF(N(D27)=0,"",D27-D24)</f>
        <v>0.528056565656566</v>
      </c>
      <c r="E30" s="30" t="n">
        <f aca="false">IF(N(E27)=0,"",E27-E24)</f>
        <v>0.863884848484849</v>
      </c>
      <c r="F30" s="31" t="n">
        <f aca="false">IF(N(F27)=0,"",F27-F24)</f>
        <v>1.50050303030303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32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0.00045</v>
      </c>
      <c r="F5" s="20" t="n">
        <f aca="false">C5*E5</f>
        <v>0.45</v>
      </c>
    </row>
    <row r="6" customFormat="false" ht="15" hidden="false" customHeight="false" outlineLevel="0" collapsed="false">
      <c r="A6" s="2" t="n">
        <v>2</v>
      </c>
      <c r="B6" s="2" t="s">
        <v>120</v>
      </c>
      <c r="C6" s="17" t="n">
        <v>900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0.00292888888888889</v>
      </c>
      <c r="F6" s="20" t="n">
        <f aca="false">C6*E6</f>
        <v>2.636</v>
      </c>
    </row>
    <row r="7" customFormat="false" ht="15" hidden="false" customHeight="false" outlineLevel="0" collapsed="false">
      <c r="A7" s="2" t="n">
        <v>3</v>
      </c>
      <c r="B7" s="2" t="s">
        <v>115</v>
      </c>
      <c r="C7" s="17" t="n">
        <v>30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0.000165</v>
      </c>
      <c r="F7" s="20" t="n">
        <f aca="false">C7*E7</f>
        <v>0.00495</v>
      </c>
    </row>
    <row r="8" customFormat="false" ht="15" hidden="false" customHeight="false" outlineLevel="0" collapsed="false">
      <c r="A8" s="2" t="n">
        <v>4</v>
      </c>
      <c r="B8" s="2" t="s">
        <v>81</v>
      </c>
      <c r="C8" s="17" t="n">
        <v>250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0.0005</v>
      </c>
      <c r="F8" s="20" t="n">
        <f aca="false">C8*E8</f>
        <v>0.125</v>
      </c>
    </row>
    <row r="9" customFormat="false" ht="15" hidden="false" customHeight="false" outlineLevel="0" collapsed="false">
      <c r="A9" s="2" t="n">
        <v>5</v>
      </c>
      <c r="B9" s="2" t="s">
        <v>147</v>
      </c>
      <c r="C9" s="17" t="n">
        <v>150</v>
      </c>
      <c r="D9" s="2" t="str">
        <f aca="false">IFERROR(INDEX(LIST!$F$2:$F$131,MATCH(B9,LIST!$B$2:$B$131,0)),"")</f>
        <v>ml</v>
      </c>
      <c r="E9" s="18" t="n">
        <f aca="false">IFERROR(INDEX(LIST!$G$2:$G$131,MATCH(B9,LIST!$B$2:$B$131,0)),0)</f>
        <v>0.001232</v>
      </c>
      <c r="F9" s="20" t="n">
        <f aca="false">C9*E9</f>
        <v>0.1848</v>
      </c>
    </row>
    <row r="10" customFormat="false" ht="15" hidden="false" customHeight="false" outlineLevel="0" collapsed="false">
      <c r="A10" s="2"/>
      <c r="B10" s="4" t="s">
        <v>191</v>
      </c>
      <c r="C10" s="2"/>
      <c r="D10" s="2"/>
      <c r="E10" s="2"/>
      <c r="F10" s="21" t="n">
        <f aca="false">SUM(F5:F9)</f>
        <v>3.40075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4" t="s">
        <v>192</v>
      </c>
      <c r="C12" s="44" t="s">
        <v>4</v>
      </c>
      <c r="D12" s="22" t="s">
        <v>5</v>
      </c>
      <c r="E12" s="23" t="s">
        <v>6</v>
      </c>
      <c r="F12" s="24" t="s">
        <v>7</v>
      </c>
    </row>
    <row r="13" customFormat="false" ht="15" hidden="false" customHeight="false" outlineLevel="0" collapsed="false">
      <c r="A13" s="2"/>
      <c r="B13" s="25" t="s">
        <v>212</v>
      </c>
      <c r="C13" s="45" t="n">
        <v>16</v>
      </c>
      <c r="D13" s="26" t="n">
        <v>12</v>
      </c>
      <c r="E13" s="27" t="n">
        <v>6</v>
      </c>
      <c r="F13" s="28" t="n">
        <v>3.5</v>
      </c>
    </row>
    <row r="14" customFormat="false" ht="15" hidden="false" customHeight="false" outlineLevel="0" collapsed="false">
      <c r="A14" s="2"/>
      <c r="B14" s="25" t="s">
        <v>194</v>
      </c>
      <c r="C14" s="46" t="n">
        <f aca="false">IF(C13=0,0,$F$10/C13)</f>
        <v>0.212546875</v>
      </c>
      <c r="D14" s="29" t="n">
        <f aca="false">IF(D13=0,0,$F$10/D13)</f>
        <v>0.283395833333333</v>
      </c>
      <c r="E14" s="30" t="n">
        <f aca="false">IF(E13=0,0,$F$10/E13)</f>
        <v>0.566791666666667</v>
      </c>
      <c r="F14" s="31" t="n">
        <f aca="false">IF(F13=0,0,$F$10/F13)</f>
        <v>0.971642857142857</v>
      </c>
    </row>
    <row r="15" customFormat="false" ht="15" hidden="false" customHeight="false" outlineLevel="0" collapsed="false">
      <c r="A15" s="2"/>
      <c r="B15" s="25" t="s">
        <v>195</v>
      </c>
      <c r="C15" s="47" t="s">
        <v>175</v>
      </c>
      <c r="D15" s="32" t="s">
        <v>176</v>
      </c>
      <c r="E15" s="33" t="s">
        <v>177</v>
      </c>
      <c r="F15" s="34" t="s">
        <v>178</v>
      </c>
    </row>
    <row r="16" customFormat="false" ht="15" hidden="false" customHeight="false" outlineLevel="0" collapsed="false">
      <c r="A16" s="2"/>
      <c r="B16" s="25" t="s">
        <v>196</v>
      </c>
      <c r="C16" s="46" t="n">
        <f aca="false">IFERROR(INDEX(LIST!$G$2:$G$131,MATCH(C15,LIST!$B$2:$B$131,0)),0)</f>
        <v>0.025</v>
      </c>
      <c r="D16" s="29" t="n">
        <f aca="false">IFERROR(INDEX(LIST!$G$2:$G$131,MATCH(D15,LIST!$B$2:$B$131,0)),0)</f>
        <v>0.021</v>
      </c>
      <c r="E16" s="30" t="n">
        <f aca="false">IFERROR(INDEX(LIST!$G$2:$G$131,MATCH(E15,LIST!$B$2:$B$131,0)),0)</f>
        <v>0.0315</v>
      </c>
      <c r="F16" s="31" t="n">
        <f aca="false">IFERROR(INDEX(LIST!$G$2:$G$131,MATCH(F15,LIST!$B$2:$B$131,0)),0)</f>
        <v>0.116666666666667</v>
      </c>
    </row>
    <row r="17" customFormat="false" ht="15" hidden="false" customHeight="false" outlineLevel="0" collapsed="false">
      <c r="A17" s="2"/>
      <c r="B17" s="25" t="s">
        <v>197</v>
      </c>
      <c r="C17" s="45" t="n">
        <v>1</v>
      </c>
      <c r="D17" s="26" t="n">
        <v>1</v>
      </c>
      <c r="E17" s="27" t="n">
        <v>2</v>
      </c>
      <c r="F17" s="28" t="n">
        <v>3</v>
      </c>
    </row>
    <row r="18" customFormat="false" ht="15" hidden="false" customHeight="false" outlineLevel="0" collapsed="false">
      <c r="A18" s="2"/>
      <c r="B18" s="25" t="s">
        <v>198</v>
      </c>
      <c r="C18" s="46" t="n">
        <f aca="false">C17*IFERROR(INDEX(LIST!$G$2:$G$131,MATCH("SPOON",LIST!$B$2:$B$131,0)),0)</f>
        <v>0.0064</v>
      </c>
      <c r="D18" s="29" t="n">
        <f aca="false">D17*IFERROR(INDEX(LIST!$G$2:$G$131,MATCH("SPOON",LIST!$B$2:$B$131,0)),0)</f>
        <v>0.0064</v>
      </c>
      <c r="E18" s="30" t="n">
        <f aca="false">E17*IFERROR(INDEX(LIST!$G$2:$G$131,MATCH("SPOON",LIST!$B$2:$B$131,0)),0)</f>
        <v>0.0128</v>
      </c>
      <c r="F18" s="31" t="n">
        <f aca="false">F17*IFERROR(INDEX(LIST!$G$2:$G$131,MATCH("SPOON",LIST!$B$2:$B$131,0)),0)</f>
        <v>0.0192</v>
      </c>
    </row>
    <row r="19" customFormat="false" ht="15" hidden="false" customHeight="false" outlineLevel="0" collapsed="false">
      <c r="A19" s="2"/>
      <c r="B19" s="25" t="s">
        <v>199</v>
      </c>
      <c r="C19" s="45" t="n">
        <v>0</v>
      </c>
      <c r="D19" s="26" t="n">
        <v>0</v>
      </c>
      <c r="E19" s="27" t="n">
        <v>0</v>
      </c>
      <c r="F19" s="28" t="n">
        <v>0</v>
      </c>
    </row>
    <row r="20" customFormat="false" ht="15" hidden="false" customHeight="false" outlineLevel="0" collapsed="false">
      <c r="A20" s="2"/>
      <c r="B20" s="25" t="s">
        <v>200</v>
      </c>
      <c r="C20" s="46" t="n">
        <f aca="false">C19*IFERROR(INDEX(LIST!$G$2:$G$131,MATCH("Bread",LIST!$B$2:$B$131,0)),0)</f>
        <v>0</v>
      </c>
      <c r="D20" s="29" t="n">
        <f aca="false">D19*IFERROR(INDEX(LIST!$G$2:$G$131,MATCH("Bread",LIST!$B$2:$B$131,0)),0)</f>
        <v>0</v>
      </c>
      <c r="E20" s="30" t="n">
        <f aca="false">E19*IFERROR(INDEX(LIST!$G$2:$G$131,MATCH("Bread",LIST!$B$2:$B$131,0)),0)</f>
        <v>0</v>
      </c>
      <c r="F20" s="31" t="n">
        <f aca="false">F19*IFERROR(INDEX(LIST!$G$2:$G$131,MATCH("Bread",LIST!$B$2:$B$131,0)),0)</f>
        <v>0</v>
      </c>
    </row>
    <row r="21" customFormat="false" ht="15" hidden="false" customHeight="false" outlineLevel="0" collapsed="false">
      <c r="A21" s="2"/>
      <c r="B21" s="25" t="s">
        <v>201</v>
      </c>
      <c r="C21" s="47" t="s">
        <v>186</v>
      </c>
      <c r="D21" s="32" t="s">
        <v>186</v>
      </c>
      <c r="E21" s="33" t="s">
        <v>184</v>
      </c>
      <c r="F21" s="34" t="s">
        <v>184</v>
      </c>
    </row>
    <row r="22" customFormat="false" ht="15" hidden="false" customHeight="false" outlineLevel="0" collapsed="false">
      <c r="A22" s="2"/>
      <c r="B22" s="25" t="s">
        <v>202</v>
      </c>
      <c r="C22" s="46" t="n">
        <f aca="false">IFERROR(INDEX(LIST!$G$2:$G$131,MATCH(C21,LIST!$B$2:$B$131,0)),0)</f>
        <v>0.01</v>
      </c>
      <c r="D22" s="29" t="n">
        <f aca="false">IFERROR(INDEX(LIST!$G$2:$G$131,MATCH(D21,LIST!$B$2:$B$131,0)),0)</f>
        <v>0.01</v>
      </c>
      <c r="E22" s="30" t="n">
        <f aca="false">IFERROR(INDEX(LIST!$G$2:$G$131,MATCH(E21,LIST!$B$2:$B$131,0)),0)</f>
        <v>0.03</v>
      </c>
      <c r="F22" s="31" t="n">
        <f aca="false">IFERROR(INDEX(LIST!$G$2:$G$131,MATCH(F21,LIST!$B$2:$B$131,0)),0)</f>
        <v>0.03</v>
      </c>
    </row>
    <row r="23" customFormat="false" ht="15" hidden="false" customHeight="false" outlineLevel="0" collapsed="false">
      <c r="A23" s="2"/>
      <c r="B23" s="25" t="s">
        <v>203</v>
      </c>
      <c r="C23" s="48" t="n">
        <v>0</v>
      </c>
      <c r="D23" s="35" t="n">
        <v>0</v>
      </c>
      <c r="E23" s="36" t="n">
        <v>0</v>
      </c>
      <c r="F23" s="37" t="n">
        <v>0</v>
      </c>
    </row>
    <row r="24" customFormat="false" ht="15" hidden="false" customHeight="false" outlineLevel="0" collapsed="false">
      <c r="A24" s="2"/>
      <c r="B24" s="25" t="s">
        <v>204</v>
      </c>
      <c r="C24" s="46" t="n">
        <f aca="false">C16+C18+C20+C22+C23</f>
        <v>0.0414</v>
      </c>
      <c r="D24" s="29" t="n">
        <f aca="false">D16+D18+D20+D22+D23</f>
        <v>0.0374</v>
      </c>
      <c r="E24" s="30" t="n">
        <f aca="false">E16+E18+E20+E22+E23</f>
        <v>0.0743</v>
      </c>
      <c r="F24" s="31" t="n">
        <f aca="false">F16+F18+F20+F22+F23</f>
        <v>0.165866666666667</v>
      </c>
    </row>
    <row r="25" customFormat="false" ht="15" hidden="false" customHeight="false" outlineLevel="0" collapsed="false">
      <c r="A25" s="2"/>
      <c r="B25" s="4" t="s">
        <v>205</v>
      </c>
      <c r="C25" s="49" t="n">
        <f aca="false">C14+C24</f>
        <v>0.253946875</v>
      </c>
      <c r="D25" s="38" t="n">
        <f aca="false">D14+D24</f>
        <v>0.320795833333333</v>
      </c>
      <c r="E25" s="39" t="n">
        <f aca="false">E14+E24</f>
        <v>0.641091666666667</v>
      </c>
      <c r="F25" s="40" t="n">
        <f aca="false">F14+F24</f>
        <v>1.13750952380952</v>
      </c>
    </row>
    <row r="26" customFormat="false" ht="15" hidden="false" customHeight="false" outlineLevel="0" collapsed="false">
      <c r="A26" s="2"/>
      <c r="B26" s="25" t="s">
        <v>9</v>
      </c>
      <c r="C26" s="48" t="n">
        <v>0.6</v>
      </c>
      <c r="D26" s="35" t="n">
        <v>1</v>
      </c>
      <c r="E26" s="36" t="n">
        <v>1.6</v>
      </c>
      <c r="F26" s="37" t="n">
        <v>2.9</v>
      </c>
    </row>
    <row r="27" customFormat="false" ht="15" hidden="false" customHeight="false" outlineLevel="0" collapsed="false">
      <c r="A27" s="2"/>
      <c r="B27" s="4" t="s">
        <v>206</v>
      </c>
      <c r="C27" s="50" t="n">
        <f aca="false">IF(C26=0,"",C25/C26)</f>
        <v>0.423244791666667</v>
      </c>
      <c r="D27" s="41" t="n">
        <f aca="false">IF(D26=0,"",D25/D26)</f>
        <v>0.320795833333333</v>
      </c>
      <c r="E27" s="42" t="n">
        <f aca="false">IF(E26=0,"",E25/E26)</f>
        <v>0.400682291666667</v>
      </c>
      <c r="F27" s="43" t="n">
        <f aca="false">IF(F26=0,"",F25/F26)</f>
        <v>0.392244663382594</v>
      </c>
    </row>
    <row r="28" customFormat="false" ht="15" hidden="false" customHeight="false" outlineLevel="0" collapsed="false">
      <c r="A28" s="2"/>
      <c r="B28" s="25" t="s">
        <v>11</v>
      </c>
      <c r="C28" s="48" t="n">
        <v>0.6</v>
      </c>
      <c r="D28" s="35" t="n">
        <v>1.35</v>
      </c>
      <c r="E28" s="36" t="n">
        <v>2.4</v>
      </c>
      <c r="F28" s="37" t="n">
        <v>4.4</v>
      </c>
    </row>
    <row r="29" customFormat="false" ht="15" hidden="false" customHeight="false" outlineLevel="0" collapsed="false">
      <c r="A29" s="2"/>
      <c r="B29" s="4" t="s">
        <v>207</v>
      </c>
      <c r="C29" s="50" t="n">
        <f aca="false">IF(N(C28)=0,"",C25/C28)</f>
        <v>0.423244791666667</v>
      </c>
      <c r="D29" s="41" t="n">
        <f aca="false">IF(N(D28)=0,"",D25/D28)</f>
        <v>0.237626543209877</v>
      </c>
      <c r="E29" s="42" t="n">
        <f aca="false">IF(N(E28)=0,"",E25/E28)</f>
        <v>0.267121527777778</v>
      </c>
      <c r="F29" s="43" t="n">
        <f aca="false">IF(N(F28)=0,"",F25/F28)</f>
        <v>0.258524891774892</v>
      </c>
    </row>
    <row r="30" customFormat="false" ht="15" hidden="false" customHeight="false" outlineLevel="0" collapsed="false">
      <c r="A30" s="2"/>
      <c r="B30" s="25" t="s">
        <v>208</v>
      </c>
      <c r="C30" s="46" t="n">
        <f aca="false">C26-C25</f>
        <v>0.346053125</v>
      </c>
      <c r="D30" s="29" t="n">
        <f aca="false">D26-D25</f>
        <v>0.679204166666667</v>
      </c>
      <c r="E30" s="30" t="n">
        <f aca="false">E26-E25</f>
        <v>0.958908333333333</v>
      </c>
      <c r="F30" s="31" t="n">
        <f aca="false">F26-F25</f>
        <v>1.76249047619048</v>
      </c>
    </row>
    <row r="31" customFormat="false" ht="15" hidden="false" customHeight="false" outlineLevel="0" collapsed="false">
      <c r="A31" s="2"/>
      <c r="B31" s="25" t="s">
        <v>209</v>
      </c>
      <c r="C31" s="46" t="n">
        <f aca="false">IF(N(C28)=0,"",C28-C25)</f>
        <v>0.346053125</v>
      </c>
      <c r="D31" s="29" t="n">
        <f aca="false">IF(N(D28)=0,"",D28-D25)</f>
        <v>1.02920416666667</v>
      </c>
      <c r="E31" s="30" t="n">
        <f aca="false">IF(N(E28)=0,"",E28-E25)</f>
        <v>1.75890833333333</v>
      </c>
      <c r="F31" s="31" t="n">
        <f aca="false">IF(N(F28)=0,"",F28-F25)</f>
        <v>3.26249047619048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39</v>
      </c>
      <c r="C5" s="17" t="n">
        <v>500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0.0022</v>
      </c>
      <c r="F5" s="20" t="n">
        <f aca="false">C5*E5</f>
        <v>1.1</v>
      </c>
    </row>
    <row r="6" customFormat="false" ht="15" hidden="false" customHeight="false" outlineLevel="0" collapsed="false">
      <c r="A6" s="2" t="n">
        <v>2</v>
      </c>
      <c r="B6" s="2" t="s">
        <v>33</v>
      </c>
      <c r="C6" s="17" t="n">
        <v>1000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</v>
      </c>
      <c r="F6" s="20" t="n">
        <f aca="false">C6*E6</f>
        <v>0</v>
      </c>
    </row>
    <row r="7" customFormat="false" ht="15" hidden="false" customHeight="false" outlineLevel="0" collapsed="false">
      <c r="A7" s="2" t="n">
        <v>3</v>
      </c>
      <c r="B7" s="2" t="s">
        <v>150</v>
      </c>
      <c r="C7" s="17" t="n">
        <v>250</v>
      </c>
      <c r="D7" s="2" t="str">
        <f aca="false">IFERROR(INDEX(LIST!$F$2:$F$131,MATCH(B7,LIST!$B$2:$B$131,0)),"")</f>
        <v>ml</v>
      </c>
      <c r="E7" s="18" t="n">
        <f aca="false">IFERROR(INDEX(LIST!$G$2:$G$131,MATCH(B7,LIST!$B$2:$B$131,0)),0)</f>
        <v>0.000594</v>
      </c>
      <c r="F7" s="20" t="n">
        <f aca="false">C7*E7</f>
        <v>0.1485</v>
      </c>
    </row>
    <row r="8" customFormat="false" ht="15" hidden="false" customHeight="false" outlineLevel="0" collapsed="false">
      <c r="A8" s="2" t="n">
        <v>4</v>
      </c>
      <c r="B8" s="2" t="s">
        <v>164</v>
      </c>
      <c r="C8" s="17" t="n">
        <v>480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0.0006</v>
      </c>
      <c r="F8" s="20" t="n">
        <f aca="false">C8*E8</f>
        <v>0.288</v>
      </c>
    </row>
    <row r="9" customFormat="false" ht="15" hidden="false" customHeight="false" outlineLevel="0" collapsed="false">
      <c r="A9" s="2" t="n">
        <v>5</v>
      </c>
      <c r="B9" s="2" t="s">
        <v>76</v>
      </c>
      <c r="C9" s="17" t="n">
        <v>300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0.00045</v>
      </c>
      <c r="F9" s="20" t="n">
        <f aca="false">C9*E9</f>
        <v>0.135</v>
      </c>
    </row>
    <row r="10" customFormat="false" ht="15" hidden="false" customHeight="false" outlineLevel="0" collapsed="false">
      <c r="A10" s="2" t="n">
        <v>6</v>
      </c>
      <c r="B10" s="2" t="s">
        <v>71</v>
      </c>
      <c r="C10" s="17" t="n">
        <v>5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0.0008</v>
      </c>
      <c r="F10" s="20" t="n">
        <f aca="false">C10*E10</f>
        <v>0.004</v>
      </c>
    </row>
    <row r="11" customFormat="false" ht="15" hidden="false" customHeight="false" outlineLevel="0" collapsed="false">
      <c r="A11" s="2" t="n">
        <v>7</v>
      </c>
      <c r="B11" s="2" t="s">
        <v>67</v>
      </c>
      <c r="C11" s="17" t="n">
        <v>15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0.0015</v>
      </c>
      <c r="F11" s="20" t="n">
        <f aca="false">C11*E11</f>
        <v>0.0225</v>
      </c>
    </row>
    <row r="12" customFormat="false" ht="15" hidden="false" customHeight="false" outlineLevel="0" collapsed="false">
      <c r="A12" s="2" t="n">
        <v>8</v>
      </c>
      <c r="B12" s="2" t="s">
        <v>81</v>
      </c>
      <c r="C12" s="17" t="n">
        <v>500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0.0005</v>
      </c>
      <c r="F12" s="20" t="n">
        <f aca="false">C12*E12</f>
        <v>0.25</v>
      </c>
    </row>
    <row r="13" customFormat="false" ht="15" hidden="false" customHeight="false" outlineLevel="0" collapsed="false">
      <c r="A13" s="2" t="n">
        <v>9</v>
      </c>
      <c r="B13" s="2" t="s">
        <v>102</v>
      </c>
      <c r="C13" s="17" t="n">
        <v>15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0.002818</v>
      </c>
      <c r="F13" s="20" t="n">
        <f aca="false">C13*E13</f>
        <v>0.04227</v>
      </c>
    </row>
    <row r="14" customFormat="false" ht="15" hidden="false" customHeight="false" outlineLevel="0" collapsed="false">
      <c r="A14" s="2" t="n">
        <v>10</v>
      </c>
      <c r="B14" s="2" t="s">
        <v>108</v>
      </c>
      <c r="C14" s="17" t="n">
        <v>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0.00165</v>
      </c>
      <c r="F14" s="20" t="n">
        <f aca="false">C14*E14</f>
        <v>0.00825</v>
      </c>
    </row>
    <row r="15" customFormat="false" ht="15" hidden="false" customHeight="false" outlineLevel="0" collapsed="false">
      <c r="A15" s="2" t="n">
        <v>11</v>
      </c>
      <c r="B15" s="2" t="s">
        <v>97</v>
      </c>
      <c r="C15" s="17" t="n">
        <v>2.5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0.00462</v>
      </c>
      <c r="F15" s="20" t="n">
        <f aca="false">C15*E15</f>
        <v>0.01155</v>
      </c>
    </row>
    <row r="16" customFormat="false" ht="15" hidden="false" customHeight="false" outlineLevel="0" collapsed="false">
      <c r="A16" s="2" t="n">
        <v>12</v>
      </c>
      <c r="B16" s="2" t="s">
        <v>105</v>
      </c>
      <c r="C16" s="17" t="n">
        <v>2.5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0.0026454</v>
      </c>
      <c r="F16" s="20" t="n">
        <f aca="false">C16*E16</f>
        <v>0.0066135</v>
      </c>
    </row>
    <row r="17" customFormat="false" ht="15" hidden="false" customHeight="false" outlineLevel="0" collapsed="false">
      <c r="A17" s="2" t="n">
        <v>13</v>
      </c>
      <c r="B17" s="2" t="s">
        <v>115</v>
      </c>
      <c r="C17" s="17" t="n">
        <v>30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0.000165</v>
      </c>
      <c r="F17" s="20" t="n">
        <f aca="false">C17*E17</f>
        <v>0.00495</v>
      </c>
    </row>
    <row r="18" customFormat="false" ht="15" hidden="false" customHeight="false" outlineLevel="0" collapsed="false">
      <c r="A18" s="2"/>
      <c r="B18" s="4" t="s">
        <v>191</v>
      </c>
      <c r="C18" s="2"/>
      <c r="D18" s="2"/>
      <c r="E18" s="2"/>
      <c r="F18" s="21" t="n">
        <f aca="false">SUM(F5:F17)</f>
        <v>2.0216335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2"/>
      <c r="B20" s="4" t="s">
        <v>192</v>
      </c>
      <c r="C20" s="22" t="s">
        <v>5</v>
      </c>
      <c r="D20" s="23" t="s">
        <v>6</v>
      </c>
      <c r="E20" s="24" t="s">
        <v>7</v>
      </c>
      <c r="F20" s="2"/>
    </row>
    <row r="21" customFormat="false" ht="15" hidden="false" customHeight="false" outlineLevel="0" collapsed="false">
      <c r="A21" s="2"/>
      <c r="B21" s="25" t="s">
        <v>212</v>
      </c>
      <c r="C21" s="26" t="n">
        <v>15</v>
      </c>
      <c r="D21" s="27" t="n">
        <v>8</v>
      </c>
      <c r="E21" s="28" t="n">
        <v>3</v>
      </c>
      <c r="F21" s="2"/>
    </row>
    <row r="22" customFormat="false" ht="15" hidden="false" customHeight="false" outlineLevel="0" collapsed="false">
      <c r="A22" s="2"/>
      <c r="B22" s="25" t="s">
        <v>194</v>
      </c>
      <c r="C22" s="29" t="n">
        <f aca="false">IF(C21=0,0,$F$18/C21)</f>
        <v>0.134775566666667</v>
      </c>
      <c r="D22" s="30" t="n">
        <f aca="false">IF(D21=0,0,$F$18/D21)</f>
        <v>0.2527041875</v>
      </c>
      <c r="E22" s="31" t="n">
        <f aca="false">IF(E21=0,0,$F$18/E21)</f>
        <v>0.673877833333333</v>
      </c>
      <c r="F22" s="2"/>
    </row>
    <row r="23" customFormat="false" ht="15" hidden="false" customHeight="false" outlineLevel="0" collapsed="false">
      <c r="A23" s="2"/>
      <c r="B23" s="25" t="s">
        <v>195</v>
      </c>
      <c r="C23" s="32" t="s">
        <v>176</v>
      </c>
      <c r="D23" s="33" t="s">
        <v>177</v>
      </c>
      <c r="E23" s="34" t="s">
        <v>178</v>
      </c>
      <c r="F23" s="2"/>
    </row>
    <row r="24" customFormat="false" ht="15" hidden="false" customHeight="false" outlineLevel="0" collapsed="false">
      <c r="A24" s="2"/>
      <c r="B24" s="25" t="s">
        <v>196</v>
      </c>
      <c r="C24" s="29" t="n">
        <f aca="false">IFERROR(INDEX(LIST!$G$2:$G$131,MATCH(C23,LIST!$B$2:$B$131,0)),0)</f>
        <v>0.021</v>
      </c>
      <c r="D24" s="30" t="n">
        <f aca="false">IFERROR(INDEX(LIST!$G$2:$G$131,MATCH(D23,LIST!$B$2:$B$131,0)),0)</f>
        <v>0.0315</v>
      </c>
      <c r="E24" s="31" t="n">
        <f aca="false">IFERROR(INDEX(LIST!$G$2:$G$131,MATCH(E23,LIST!$B$2:$B$131,0)),0)</f>
        <v>0.116666666666667</v>
      </c>
      <c r="F24" s="2"/>
    </row>
    <row r="25" customFormat="false" ht="15" hidden="false" customHeight="false" outlineLevel="0" collapsed="false">
      <c r="A25" s="2"/>
      <c r="B25" s="25" t="s">
        <v>197</v>
      </c>
      <c r="C25" s="26" t="n">
        <v>1.45</v>
      </c>
      <c r="D25" s="27" t="n">
        <v>4.5</v>
      </c>
      <c r="E25" s="28" t="n">
        <v>6</v>
      </c>
      <c r="F25" s="2"/>
    </row>
    <row r="26" customFormat="false" ht="15" hidden="false" customHeight="false" outlineLevel="0" collapsed="false">
      <c r="A26" s="2"/>
      <c r="B26" s="25" t="s">
        <v>198</v>
      </c>
      <c r="C26" s="29" t="n">
        <f aca="false">C25*IFERROR(INDEX(LIST!$G$2:$G$131,MATCH("SPOON",LIST!$B$2:$B$131,0)),0)</f>
        <v>0.00928</v>
      </c>
      <c r="D26" s="30" t="n">
        <f aca="false">D25*IFERROR(INDEX(LIST!$G$2:$G$131,MATCH("SPOON",LIST!$B$2:$B$131,0)),0)</f>
        <v>0.0288</v>
      </c>
      <c r="E26" s="31" t="n">
        <f aca="false">E25*IFERROR(INDEX(LIST!$G$2:$G$131,MATCH("SPOON",LIST!$B$2:$B$131,0)),0)</f>
        <v>0.0384</v>
      </c>
      <c r="F26" s="2"/>
    </row>
    <row r="27" customFormat="false" ht="15" hidden="false" customHeight="false" outlineLevel="0" collapsed="false">
      <c r="A27" s="2"/>
      <c r="B27" s="25" t="s">
        <v>199</v>
      </c>
      <c r="C27" s="26" t="n">
        <v>0</v>
      </c>
      <c r="D27" s="27" t="n">
        <v>0</v>
      </c>
      <c r="E27" s="28" t="n">
        <v>0</v>
      </c>
      <c r="F27" s="2"/>
    </row>
    <row r="28" customFormat="false" ht="15" hidden="false" customHeight="false" outlineLevel="0" collapsed="false">
      <c r="A28" s="2"/>
      <c r="B28" s="25" t="s">
        <v>200</v>
      </c>
      <c r="C28" s="29" t="n">
        <f aca="false">C27*IFERROR(INDEX(LIST!$G$2:$G$131,MATCH("Bread",LIST!$B$2:$B$131,0)),0)</f>
        <v>0</v>
      </c>
      <c r="D28" s="30" t="n">
        <f aca="false">D27*IFERROR(INDEX(LIST!$G$2:$G$131,MATCH("Bread",LIST!$B$2:$B$131,0)),0)</f>
        <v>0</v>
      </c>
      <c r="E28" s="31" t="n">
        <f aca="false">E27*IFERROR(INDEX(LIST!$G$2:$G$131,MATCH("Bread",LIST!$B$2:$B$131,0)),0)</f>
        <v>0</v>
      </c>
      <c r="F28" s="2"/>
    </row>
    <row r="29" customFormat="false" ht="15" hidden="false" customHeight="false" outlineLevel="0" collapsed="false">
      <c r="A29" s="2"/>
      <c r="B29" s="25" t="s">
        <v>201</v>
      </c>
      <c r="C29" s="32" t="s">
        <v>183</v>
      </c>
      <c r="D29" s="33" t="s">
        <v>184</v>
      </c>
      <c r="E29" s="34" t="s">
        <v>185</v>
      </c>
      <c r="F29" s="2"/>
    </row>
    <row r="30" customFormat="false" ht="15" hidden="false" customHeight="false" outlineLevel="0" collapsed="false">
      <c r="A30" s="2"/>
      <c r="B30" s="25" t="s">
        <v>202</v>
      </c>
      <c r="C30" s="29" t="n">
        <f aca="false">IFERROR(INDEX(LIST!$G$2:$G$131,MATCH(C29,LIST!$B$2:$B$131,0)),0)</f>
        <v>0.02</v>
      </c>
      <c r="D30" s="30" t="n">
        <f aca="false">IFERROR(INDEX(LIST!$G$2:$G$131,MATCH(D29,LIST!$B$2:$B$131,0)),0)</f>
        <v>0.03</v>
      </c>
      <c r="E30" s="31" t="n">
        <f aca="false">IFERROR(INDEX(LIST!$G$2:$G$131,MATCH(E29,LIST!$B$2:$B$131,0)),0)</f>
        <v>0.04</v>
      </c>
      <c r="F30" s="2"/>
    </row>
    <row r="31" customFormat="false" ht="15" hidden="false" customHeight="false" outlineLevel="0" collapsed="false">
      <c r="A31" s="2"/>
      <c r="B31" s="25" t="s">
        <v>203</v>
      </c>
      <c r="C31" s="35" t="n">
        <v>0</v>
      </c>
      <c r="D31" s="36" t="n">
        <v>0</v>
      </c>
      <c r="E31" s="37" t="n">
        <v>0</v>
      </c>
      <c r="F31" s="2"/>
    </row>
    <row r="32" customFormat="false" ht="15" hidden="false" customHeight="false" outlineLevel="0" collapsed="false">
      <c r="A32" s="2"/>
      <c r="B32" s="25" t="s">
        <v>204</v>
      </c>
      <c r="C32" s="29" t="n">
        <f aca="false">C24+C26+C28+C30+C31</f>
        <v>0.05028</v>
      </c>
      <c r="D32" s="30" t="n">
        <f aca="false">D24+D26+D28+D30+D31</f>
        <v>0.0903</v>
      </c>
      <c r="E32" s="31" t="n">
        <f aca="false">E24+E26+E28+E30+E31</f>
        <v>0.195066666666667</v>
      </c>
      <c r="F32" s="2"/>
    </row>
    <row r="33" customFormat="false" ht="15" hidden="false" customHeight="false" outlineLevel="0" collapsed="false">
      <c r="A33" s="2"/>
      <c r="B33" s="4" t="s">
        <v>205</v>
      </c>
      <c r="C33" s="38" t="n">
        <f aca="false">C22+C32</f>
        <v>0.185055566666667</v>
      </c>
      <c r="D33" s="39" t="n">
        <f aca="false">D22+D32</f>
        <v>0.3430041875</v>
      </c>
      <c r="E33" s="40" t="n">
        <f aca="false">E22+E32</f>
        <v>0.8689445</v>
      </c>
      <c r="F33" s="2"/>
    </row>
    <row r="34" customFormat="false" ht="15" hidden="false" customHeight="false" outlineLevel="0" collapsed="false">
      <c r="A34" s="2"/>
      <c r="B34" s="25" t="s">
        <v>9</v>
      </c>
      <c r="C34" s="35" t="n">
        <v>1</v>
      </c>
      <c r="D34" s="36" t="n">
        <v>1.6</v>
      </c>
      <c r="E34" s="37" t="n">
        <v>2.9</v>
      </c>
      <c r="F34" s="2"/>
    </row>
    <row r="35" customFormat="false" ht="15" hidden="false" customHeight="false" outlineLevel="0" collapsed="false">
      <c r="A35" s="2"/>
      <c r="B35" s="4" t="s">
        <v>206</v>
      </c>
      <c r="C35" s="41" t="n">
        <f aca="false">IF(C34=0,"",C33/C34)</f>
        <v>0.185055566666667</v>
      </c>
      <c r="D35" s="42" t="n">
        <f aca="false">IF(D34=0,"",D33/D34)</f>
        <v>0.2143776171875</v>
      </c>
      <c r="E35" s="43" t="n">
        <f aca="false">IF(E34=0,"",E33/E34)</f>
        <v>0.299636034482759</v>
      </c>
      <c r="F35" s="2"/>
    </row>
    <row r="36" customFormat="false" ht="15" hidden="false" customHeight="false" outlineLevel="0" collapsed="false">
      <c r="A36" s="2"/>
      <c r="B36" s="25" t="s">
        <v>11</v>
      </c>
      <c r="C36" s="35" t="n">
        <v>1</v>
      </c>
      <c r="D36" s="36" t="n">
        <v>1.6</v>
      </c>
      <c r="E36" s="37" t="n">
        <v>2.9</v>
      </c>
      <c r="F36" s="2"/>
    </row>
    <row r="37" customFormat="false" ht="15" hidden="false" customHeight="false" outlineLevel="0" collapsed="false">
      <c r="A37" s="2"/>
      <c r="B37" s="4" t="s">
        <v>207</v>
      </c>
      <c r="C37" s="41" t="n">
        <f aca="false">IF(N(C36)=0,"",C33/C36)</f>
        <v>0.185055566666667</v>
      </c>
      <c r="D37" s="42" t="n">
        <f aca="false">IF(N(D36)=0,"",D33/D36)</f>
        <v>0.2143776171875</v>
      </c>
      <c r="E37" s="43" t="n">
        <f aca="false">IF(N(E36)=0,"",E33/E36)</f>
        <v>0.299636034482759</v>
      </c>
      <c r="F37" s="2"/>
    </row>
    <row r="38" customFormat="false" ht="15" hidden="false" customHeight="false" outlineLevel="0" collapsed="false">
      <c r="A38" s="2"/>
      <c r="B38" s="25" t="s">
        <v>208</v>
      </c>
      <c r="C38" s="29" t="n">
        <f aca="false">C34-C33</f>
        <v>0.814944433333333</v>
      </c>
      <c r="D38" s="30" t="n">
        <f aca="false">D34-D33</f>
        <v>1.2569958125</v>
      </c>
      <c r="E38" s="31" t="n">
        <f aca="false">E34-E33</f>
        <v>2.0310555</v>
      </c>
      <c r="F38" s="2"/>
    </row>
    <row r="39" customFormat="false" ht="15" hidden="false" customHeight="false" outlineLevel="0" collapsed="false">
      <c r="A39" s="2"/>
      <c r="B39" s="25" t="s">
        <v>209</v>
      </c>
      <c r="C39" s="29" t="n">
        <f aca="false">IF(N(C36)=0,"",C36-C33)</f>
        <v>0.814944433333333</v>
      </c>
      <c r="D39" s="30" t="n">
        <f aca="false">IF(N(D36)=0,"",D36-D33)</f>
        <v>1.2569958125</v>
      </c>
      <c r="E39" s="31" t="n">
        <f aca="false">IF(N(E36)=0,"",E36-E33)</f>
        <v>2.0310555</v>
      </c>
      <c r="F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93</v>
      </c>
      <c r="C5" s="17" t="n">
        <v>175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0.000818</v>
      </c>
      <c r="F5" s="20" t="n">
        <f aca="false">C5*E5</f>
        <v>0.14315</v>
      </c>
    </row>
    <row r="6" customFormat="false" ht="15" hidden="false" customHeight="false" outlineLevel="0" collapsed="false">
      <c r="A6" s="2" t="n">
        <v>2</v>
      </c>
      <c r="B6" s="2" t="s">
        <v>28</v>
      </c>
      <c r="C6" s="17" t="n">
        <v>175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0.00073</v>
      </c>
      <c r="F6" s="20" t="n">
        <f aca="false">C6*E6</f>
        <v>0.12775</v>
      </c>
    </row>
    <row r="7" customFormat="false" ht="15" hidden="false" customHeight="false" outlineLevel="0" collapsed="false">
      <c r="A7" s="2" t="n">
        <v>3</v>
      </c>
      <c r="B7" s="2" t="s">
        <v>88</v>
      </c>
      <c r="C7" s="17" t="n">
        <v>175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0.000668</v>
      </c>
      <c r="F7" s="20" t="n">
        <f aca="false">C7*E7</f>
        <v>0.1169</v>
      </c>
    </row>
    <row r="8" customFormat="false" ht="15" hidden="false" customHeight="false" outlineLevel="0" collapsed="false">
      <c r="A8" s="2" t="n">
        <v>4</v>
      </c>
      <c r="B8" s="2" t="s">
        <v>86</v>
      </c>
      <c r="C8" s="17" t="n">
        <v>175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0.0004</v>
      </c>
      <c r="F8" s="20" t="n">
        <f aca="false">C8*E8</f>
        <v>0.07</v>
      </c>
    </row>
    <row r="9" customFormat="false" ht="15" hidden="false" customHeight="false" outlineLevel="0" collapsed="false">
      <c r="A9" s="2" t="n">
        <v>5</v>
      </c>
      <c r="B9" s="2" t="s">
        <v>32</v>
      </c>
      <c r="C9" s="17" t="n">
        <v>175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0.00045</v>
      </c>
      <c r="F9" s="20" t="n">
        <f aca="false">C9*E9</f>
        <v>0.07875</v>
      </c>
    </row>
    <row r="10" customFormat="false" ht="15" hidden="false" customHeight="false" outlineLevel="0" collapsed="false">
      <c r="A10" s="2" t="n">
        <v>6</v>
      </c>
      <c r="B10" s="2" t="s">
        <v>91</v>
      </c>
      <c r="C10" s="17" t="n">
        <v>175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0.0003</v>
      </c>
      <c r="F10" s="20" t="n">
        <f aca="false">C10*E10</f>
        <v>0.0525</v>
      </c>
    </row>
    <row r="11" customFormat="false" ht="15" hidden="false" customHeight="false" outlineLevel="0" collapsed="false">
      <c r="A11" s="2" t="n">
        <v>7</v>
      </c>
      <c r="B11" s="2" t="s">
        <v>84</v>
      </c>
      <c r="C11" s="17" t="n">
        <v>175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0.00066</v>
      </c>
      <c r="F11" s="20" t="n">
        <f aca="false">C11*E11</f>
        <v>0.1155</v>
      </c>
    </row>
    <row r="12" customFormat="false" ht="15" hidden="false" customHeight="false" outlineLevel="0" collapsed="false">
      <c r="A12" s="2" t="n">
        <v>8</v>
      </c>
      <c r="B12" s="2" t="s">
        <v>65</v>
      </c>
      <c r="C12" s="17" t="n">
        <v>60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0.0015</v>
      </c>
      <c r="F12" s="20" t="n">
        <f aca="false">C12*E12</f>
        <v>0.09</v>
      </c>
    </row>
    <row r="13" customFormat="false" ht="15" hidden="false" customHeight="false" outlineLevel="0" collapsed="false">
      <c r="A13" s="2" t="n">
        <v>9</v>
      </c>
      <c r="B13" s="2" t="s">
        <v>59</v>
      </c>
      <c r="C13" s="17" t="n">
        <v>55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0.00172727272727273</v>
      </c>
      <c r="F13" s="20" t="n">
        <f aca="false">C13*E13</f>
        <v>0.095</v>
      </c>
    </row>
    <row r="14" customFormat="false" ht="15" hidden="false" customHeight="false" outlineLevel="0" collapsed="false">
      <c r="A14" s="2" t="n">
        <v>10</v>
      </c>
      <c r="B14" s="2" t="s">
        <v>56</v>
      </c>
      <c r="C14" s="17" t="n">
        <v>50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0.0008</v>
      </c>
      <c r="F14" s="20" t="n">
        <f aca="false">C14*E14</f>
        <v>0.04</v>
      </c>
    </row>
    <row r="15" customFormat="false" ht="15" hidden="false" customHeight="false" outlineLevel="0" collapsed="false">
      <c r="A15" s="2" t="n">
        <v>11</v>
      </c>
      <c r="B15" s="2" t="s">
        <v>78</v>
      </c>
      <c r="C15" s="17" t="n">
        <v>55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0.00181818181818182</v>
      </c>
      <c r="F15" s="20" t="n">
        <f aca="false">C15*E15</f>
        <v>0.1</v>
      </c>
    </row>
    <row r="16" customFormat="false" ht="15" hidden="false" customHeight="false" outlineLevel="0" collapsed="false">
      <c r="A16" s="2" t="n">
        <v>12</v>
      </c>
      <c r="B16" s="2" t="s">
        <v>80</v>
      </c>
      <c r="C16" s="17" t="n">
        <v>100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0.0008</v>
      </c>
      <c r="F16" s="20" t="n">
        <f aca="false">C16*E16</f>
        <v>0.08</v>
      </c>
    </row>
    <row r="17" customFormat="false" ht="15" hidden="false" customHeight="false" outlineLevel="0" collapsed="false">
      <c r="A17" s="2" t="n">
        <v>13</v>
      </c>
      <c r="B17" s="2" t="s">
        <v>76</v>
      </c>
      <c r="C17" s="17" t="n">
        <v>150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0.00045</v>
      </c>
      <c r="F17" s="20" t="n">
        <f aca="false">C17*E17</f>
        <v>0.0675</v>
      </c>
    </row>
    <row r="18" customFormat="false" ht="15" hidden="false" customHeight="false" outlineLevel="0" collapsed="false">
      <c r="A18" s="2" t="n">
        <v>14</v>
      </c>
      <c r="B18" s="2" t="s">
        <v>150</v>
      </c>
      <c r="C18" s="17" t="n">
        <v>200</v>
      </c>
      <c r="D18" s="2" t="str">
        <f aca="false">IFERROR(INDEX(LIST!$F$2:$F$131,MATCH(B18,LIST!$B$2:$B$131,0)),"")</f>
        <v>ml</v>
      </c>
      <c r="E18" s="18" t="n">
        <f aca="false">IFERROR(INDEX(LIST!$G$2:$G$131,MATCH(B18,LIST!$B$2:$B$131,0)),0)</f>
        <v>0.000594</v>
      </c>
      <c r="F18" s="20" t="n">
        <f aca="false">C18*E18</f>
        <v>0.1188</v>
      </c>
    </row>
    <row r="19" customFormat="false" ht="15" hidden="false" customHeight="false" outlineLevel="0" collapsed="false">
      <c r="A19" s="2" t="n">
        <v>15</v>
      </c>
      <c r="B19" s="2" t="s">
        <v>115</v>
      </c>
      <c r="C19" s="17" t="n">
        <v>15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0.000165</v>
      </c>
      <c r="F19" s="20" t="n">
        <f aca="false">C19*E19</f>
        <v>0.002475</v>
      </c>
    </row>
    <row r="20" customFormat="false" ht="15" hidden="false" customHeight="false" outlineLevel="0" collapsed="false">
      <c r="A20" s="2" t="n">
        <v>16</v>
      </c>
      <c r="B20" s="2" t="s">
        <v>108</v>
      </c>
      <c r="C20" s="17" t="n">
        <v>15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0.00165</v>
      </c>
      <c r="F20" s="20" t="n">
        <f aca="false">C20*E20</f>
        <v>0.02475</v>
      </c>
    </row>
    <row r="21" customFormat="false" ht="15" hidden="false" customHeight="false" outlineLevel="0" collapsed="false">
      <c r="A21" s="2" t="n">
        <v>17</v>
      </c>
      <c r="B21" s="2" t="s">
        <v>102</v>
      </c>
      <c r="C21" s="17" t="n">
        <v>7</v>
      </c>
      <c r="D21" s="2" t="str">
        <f aca="false">IFERROR(INDEX(LIST!$F$2:$F$131,MATCH(B21,LIST!$B$2:$B$131,0)),"")</f>
        <v>g</v>
      </c>
      <c r="E21" s="18" t="n">
        <f aca="false">IFERROR(INDEX(LIST!$G$2:$G$131,MATCH(B21,LIST!$B$2:$B$131,0)),0)</f>
        <v>0.002818</v>
      </c>
      <c r="F21" s="20" t="n">
        <f aca="false">C21*E21</f>
        <v>0.019726</v>
      </c>
    </row>
    <row r="22" customFormat="false" ht="15" hidden="false" customHeight="false" outlineLevel="0" collapsed="false">
      <c r="A22" s="2" t="n">
        <v>18</v>
      </c>
      <c r="B22" s="2" t="s">
        <v>117</v>
      </c>
      <c r="C22" s="17" t="n">
        <v>22</v>
      </c>
      <c r="D22" s="2" t="str">
        <f aca="false">IFERROR(INDEX(LIST!$F$2:$F$131,MATCH(B22,LIST!$B$2:$B$131,0)),"")</f>
        <v>g</v>
      </c>
      <c r="E22" s="18" t="n">
        <f aca="false">IFERROR(INDEX(LIST!$G$2:$G$131,MATCH(B22,LIST!$B$2:$B$131,0)),0)</f>
        <v>0.0018</v>
      </c>
      <c r="F22" s="20" t="n">
        <f aca="false">C22*E22</f>
        <v>0.0396</v>
      </c>
    </row>
    <row r="23" customFormat="false" ht="15" hidden="false" customHeight="false" outlineLevel="0" collapsed="false">
      <c r="A23" s="2"/>
      <c r="B23" s="4" t="s">
        <v>191</v>
      </c>
      <c r="C23" s="2"/>
      <c r="D23" s="2"/>
      <c r="E23" s="2"/>
      <c r="F23" s="21" t="n">
        <f aca="false">SUM(F5:F22)</f>
        <v>1.382401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2"/>
      <c r="B25" s="4" t="s">
        <v>192</v>
      </c>
      <c r="C25" s="44" t="s">
        <v>4</v>
      </c>
      <c r="D25" s="22" t="s">
        <v>5</v>
      </c>
      <c r="E25" s="23" t="s">
        <v>6</v>
      </c>
      <c r="F25" s="24" t="s">
        <v>7</v>
      </c>
    </row>
    <row r="26" customFormat="false" ht="15" hidden="false" customHeight="false" outlineLevel="0" collapsed="false">
      <c r="A26" s="2"/>
      <c r="B26" s="25" t="s">
        <v>212</v>
      </c>
      <c r="C26" s="45" t="n">
        <v>18</v>
      </c>
      <c r="D26" s="26" t="n">
        <v>11</v>
      </c>
      <c r="E26" s="27" t="n">
        <v>7</v>
      </c>
      <c r="F26" s="28" t="n">
        <v>4</v>
      </c>
    </row>
    <row r="27" customFormat="false" ht="15" hidden="false" customHeight="false" outlineLevel="0" collapsed="false">
      <c r="A27" s="2"/>
      <c r="B27" s="25" t="s">
        <v>194</v>
      </c>
      <c r="C27" s="46" t="n">
        <f aca="false">IF(C26=0,0,$F$23/C26)</f>
        <v>0.0768000555555556</v>
      </c>
      <c r="D27" s="29" t="n">
        <f aca="false">IF(D26=0,0,$F$23/D26)</f>
        <v>0.125672818181818</v>
      </c>
      <c r="E27" s="30" t="n">
        <f aca="false">IF(E26=0,0,$F$23/E26)</f>
        <v>0.197485857142857</v>
      </c>
      <c r="F27" s="31" t="n">
        <f aca="false">IF(F26=0,0,$F$23/F26)</f>
        <v>0.34560025</v>
      </c>
    </row>
    <row r="28" customFormat="false" ht="15" hidden="false" customHeight="false" outlineLevel="0" collapsed="false">
      <c r="A28" s="2"/>
      <c r="B28" s="25" t="s">
        <v>195</v>
      </c>
      <c r="C28" s="47" t="s">
        <v>175</v>
      </c>
      <c r="D28" s="32" t="s">
        <v>176</v>
      </c>
      <c r="E28" s="33" t="s">
        <v>177</v>
      </c>
      <c r="F28" s="34" t="s">
        <v>178</v>
      </c>
    </row>
    <row r="29" customFormat="false" ht="15" hidden="false" customHeight="false" outlineLevel="0" collapsed="false">
      <c r="A29" s="2"/>
      <c r="B29" s="25" t="s">
        <v>196</v>
      </c>
      <c r="C29" s="46" t="n">
        <f aca="false">IFERROR(INDEX(LIST!$G$2:$G$131,MATCH(C28,LIST!$B$2:$B$131,0)),0)</f>
        <v>0.025</v>
      </c>
      <c r="D29" s="29" t="n">
        <f aca="false">IFERROR(INDEX(LIST!$G$2:$G$131,MATCH(D28,LIST!$B$2:$B$131,0)),0)</f>
        <v>0.021</v>
      </c>
      <c r="E29" s="30" t="n">
        <f aca="false">IFERROR(INDEX(LIST!$G$2:$G$131,MATCH(E28,LIST!$B$2:$B$131,0)),0)</f>
        <v>0.0315</v>
      </c>
      <c r="F29" s="31" t="n">
        <f aca="false">IFERROR(INDEX(LIST!$G$2:$G$131,MATCH(F28,LIST!$B$2:$B$131,0)),0)</f>
        <v>0.116666666666667</v>
      </c>
    </row>
    <row r="30" customFormat="false" ht="15" hidden="false" customHeight="false" outlineLevel="0" collapsed="false">
      <c r="A30" s="2"/>
      <c r="B30" s="25" t="s">
        <v>197</v>
      </c>
      <c r="C30" s="45" t="n">
        <v>1</v>
      </c>
      <c r="D30" s="26" t="n">
        <v>1</v>
      </c>
      <c r="E30" s="27" t="n">
        <v>2</v>
      </c>
      <c r="F30" s="28" t="n">
        <v>3</v>
      </c>
    </row>
    <row r="31" customFormat="false" ht="15" hidden="false" customHeight="false" outlineLevel="0" collapsed="false">
      <c r="A31" s="2"/>
      <c r="B31" s="25" t="s">
        <v>198</v>
      </c>
      <c r="C31" s="46" t="n">
        <f aca="false">C30*IFERROR(INDEX(LIST!$G$2:$G$131,MATCH("SPOON",LIST!$B$2:$B$131,0)),0)</f>
        <v>0.0064</v>
      </c>
      <c r="D31" s="29" t="n">
        <f aca="false">D30*IFERROR(INDEX(LIST!$G$2:$G$131,MATCH("SPOON",LIST!$B$2:$B$131,0)),0)</f>
        <v>0.0064</v>
      </c>
      <c r="E31" s="30" t="n">
        <f aca="false">E30*IFERROR(INDEX(LIST!$G$2:$G$131,MATCH("SPOON",LIST!$B$2:$B$131,0)),0)</f>
        <v>0.0128</v>
      </c>
      <c r="F31" s="31" t="n">
        <f aca="false">F30*IFERROR(INDEX(LIST!$G$2:$G$131,MATCH("SPOON",LIST!$B$2:$B$131,0)),0)</f>
        <v>0.0192</v>
      </c>
    </row>
    <row r="32" customFormat="false" ht="15" hidden="false" customHeight="false" outlineLevel="0" collapsed="false">
      <c r="A32" s="2"/>
      <c r="B32" s="25" t="s">
        <v>199</v>
      </c>
      <c r="C32" s="45" t="n">
        <v>0</v>
      </c>
      <c r="D32" s="26" t="n">
        <v>0</v>
      </c>
      <c r="E32" s="27" t="n">
        <v>0</v>
      </c>
      <c r="F32" s="28" t="n">
        <v>0</v>
      </c>
    </row>
    <row r="33" customFormat="false" ht="15" hidden="false" customHeight="false" outlineLevel="0" collapsed="false">
      <c r="A33" s="2"/>
      <c r="B33" s="25" t="s">
        <v>200</v>
      </c>
      <c r="C33" s="46" t="n">
        <f aca="false">C32*IFERROR(INDEX(LIST!$G$2:$G$131,MATCH("Bread",LIST!$B$2:$B$131,0)),0)</f>
        <v>0</v>
      </c>
      <c r="D33" s="29" t="n">
        <f aca="false">D32*IFERROR(INDEX(LIST!$G$2:$G$131,MATCH("Bread",LIST!$B$2:$B$131,0)),0)</f>
        <v>0</v>
      </c>
      <c r="E33" s="30" t="n">
        <f aca="false">E32*IFERROR(INDEX(LIST!$G$2:$G$131,MATCH("Bread",LIST!$B$2:$B$131,0)),0)</f>
        <v>0</v>
      </c>
      <c r="F33" s="31" t="n">
        <f aca="false">F32*IFERROR(INDEX(LIST!$G$2:$G$131,MATCH("Bread",LIST!$B$2:$B$131,0)),0)</f>
        <v>0</v>
      </c>
    </row>
    <row r="34" customFormat="false" ht="15" hidden="false" customHeight="false" outlineLevel="0" collapsed="false">
      <c r="A34" s="2"/>
      <c r="B34" s="25" t="s">
        <v>201</v>
      </c>
      <c r="C34" s="47" t="s">
        <v>186</v>
      </c>
      <c r="D34" s="32" t="s">
        <v>183</v>
      </c>
      <c r="E34" s="33" t="s">
        <v>184</v>
      </c>
      <c r="F34" s="34" t="s">
        <v>185</v>
      </c>
    </row>
    <row r="35" customFormat="false" ht="15" hidden="false" customHeight="false" outlineLevel="0" collapsed="false">
      <c r="A35" s="2"/>
      <c r="B35" s="25" t="s">
        <v>202</v>
      </c>
      <c r="C35" s="46" t="n">
        <f aca="false">IFERROR(INDEX(LIST!$G$2:$G$131,MATCH(C34,LIST!$B$2:$B$131,0)),0)</f>
        <v>0.01</v>
      </c>
      <c r="D35" s="29" t="n">
        <f aca="false">IFERROR(INDEX(LIST!$G$2:$G$131,MATCH(D34,LIST!$B$2:$B$131,0)),0)</f>
        <v>0.02</v>
      </c>
      <c r="E35" s="30" t="n">
        <f aca="false">IFERROR(INDEX(LIST!$G$2:$G$131,MATCH(E34,LIST!$B$2:$B$131,0)),0)</f>
        <v>0.03</v>
      </c>
      <c r="F35" s="31" t="n">
        <f aca="false">IFERROR(INDEX(LIST!$G$2:$G$131,MATCH(F34,LIST!$B$2:$B$131,0)),0)</f>
        <v>0.04</v>
      </c>
    </row>
    <row r="36" customFormat="false" ht="15" hidden="false" customHeight="false" outlineLevel="0" collapsed="false">
      <c r="A36" s="2"/>
      <c r="B36" s="25" t="s">
        <v>203</v>
      </c>
      <c r="C36" s="48" t="n">
        <v>0</v>
      </c>
      <c r="D36" s="35" t="n">
        <v>0</v>
      </c>
      <c r="E36" s="36" t="n">
        <v>0</v>
      </c>
      <c r="F36" s="37" t="n">
        <v>0</v>
      </c>
    </row>
    <row r="37" customFormat="false" ht="15" hidden="false" customHeight="false" outlineLevel="0" collapsed="false">
      <c r="A37" s="2"/>
      <c r="B37" s="25" t="s">
        <v>204</v>
      </c>
      <c r="C37" s="46" t="n">
        <f aca="false">C29+C31+C33+C35+C36</f>
        <v>0.0414</v>
      </c>
      <c r="D37" s="29" t="n">
        <f aca="false">D29+D31+D33+D35+D36</f>
        <v>0.0474</v>
      </c>
      <c r="E37" s="30" t="n">
        <f aca="false">E29+E31+E33+E35+E36</f>
        <v>0.0743</v>
      </c>
      <c r="F37" s="31" t="n">
        <f aca="false">F29+F31+F33+F35+F36</f>
        <v>0.175866666666667</v>
      </c>
    </row>
    <row r="38" customFormat="false" ht="15" hidden="false" customHeight="false" outlineLevel="0" collapsed="false">
      <c r="A38" s="2"/>
      <c r="B38" s="4" t="s">
        <v>205</v>
      </c>
      <c r="C38" s="49" t="n">
        <f aca="false">C27+C37</f>
        <v>0.118200055555556</v>
      </c>
      <c r="D38" s="38" t="n">
        <f aca="false">D27+D37</f>
        <v>0.173072818181818</v>
      </c>
      <c r="E38" s="39" t="n">
        <f aca="false">E27+E37</f>
        <v>0.271785857142857</v>
      </c>
      <c r="F38" s="40" t="n">
        <f aca="false">F27+F37</f>
        <v>0.521466916666667</v>
      </c>
    </row>
    <row r="39" customFormat="false" ht="15" hidden="false" customHeight="false" outlineLevel="0" collapsed="false">
      <c r="A39" s="2"/>
      <c r="B39" s="25" t="s">
        <v>9</v>
      </c>
      <c r="C39" s="48" t="n">
        <v>0.6</v>
      </c>
      <c r="D39" s="35" t="n">
        <v>1</v>
      </c>
      <c r="E39" s="36" t="n">
        <v>1.6</v>
      </c>
      <c r="F39" s="37" t="n">
        <v>2.9</v>
      </c>
    </row>
    <row r="40" customFormat="false" ht="15" hidden="false" customHeight="false" outlineLevel="0" collapsed="false">
      <c r="A40" s="2"/>
      <c r="B40" s="4" t="s">
        <v>206</v>
      </c>
      <c r="C40" s="50" t="n">
        <f aca="false">IF(C39=0,"",C38/C39)</f>
        <v>0.197000092592593</v>
      </c>
      <c r="D40" s="41" t="n">
        <f aca="false">IF(D39=0,"",D38/D39)</f>
        <v>0.173072818181818</v>
      </c>
      <c r="E40" s="42" t="n">
        <f aca="false">IF(E39=0,"",E38/E39)</f>
        <v>0.169866160714286</v>
      </c>
      <c r="F40" s="43" t="n">
        <f aca="false">IF(F39=0,"",F38/F39)</f>
        <v>0.17981617816092</v>
      </c>
    </row>
    <row r="41" customFormat="false" ht="15" hidden="false" customHeight="false" outlineLevel="0" collapsed="false">
      <c r="A41" s="2"/>
      <c r="B41" s="25" t="s">
        <v>11</v>
      </c>
      <c r="C41" s="48" t="n">
        <v>0.6</v>
      </c>
      <c r="D41" s="35" t="n">
        <v>1.35</v>
      </c>
      <c r="E41" s="36" t="n">
        <v>2.2</v>
      </c>
      <c r="F41" s="37" t="n">
        <v>3.8</v>
      </c>
    </row>
    <row r="42" customFormat="false" ht="15" hidden="false" customHeight="false" outlineLevel="0" collapsed="false">
      <c r="A42" s="2"/>
      <c r="B42" s="4" t="s">
        <v>207</v>
      </c>
      <c r="C42" s="50" t="n">
        <f aca="false">IF(N(C41)=0,"",C38/C41)</f>
        <v>0.197000092592593</v>
      </c>
      <c r="D42" s="41" t="n">
        <f aca="false">IF(N(D41)=0,"",D38/D41)</f>
        <v>0.128202087542088</v>
      </c>
      <c r="E42" s="42" t="n">
        <f aca="false">IF(N(E41)=0,"",E38/E41)</f>
        <v>0.123539025974026</v>
      </c>
      <c r="F42" s="43" t="n">
        <f aca="false">IF(N(F41)=0,"",F38/F41)</f>
        <v>0.137228135964912</v>
      </c>
    </row>
    <row r="43" customFormat="false" ht="15" hidden="false" customHeight="false" outlineLevel="0" collapsed="false">
      <c r="A43" s="2"/>
      <c r="B43" s="25" t="s">
        <v>208</v>
      </c>
      <c r="C43" s="46" t="n">
        <f aca="false">C39-C38</f>
        <v>0.481799944444444</v>
      </c>
      <c r="D43" s="29" t="n">
        <f aca="false">D39-D38</f>
        <v>0.826927181818182</v>
      </c>
      <c r="E43" s="30" t="n">
        <f aca="false">E39-E38</f>
        <v>1.32821414285714</v>
      </c>
      <c r="F43" s="31" t="n">
        <f aca="false">F39-F38</f>
        <v>2.37853308333333</v>
      </c>
    </row>
    <row r="44" customFormat="false" ht="15" hidden="false" customHeight="false" outlineLevel="0" collapsed="false">
      <c r="A44" s="2"/>
      <c r="B44" s="25" t="s">
        <v>209</v>
      </c>
      <c r="C44" s="46" t="n">
        <f aca="false">IF(N(C41)=0,"",C41-C38)</f>
        <v>0.481799944444444</v>
      </c>
      <c r="D44" s="29" t="n">
        <f aca="false">IF(N(D41)=0,"",D41-D38)</f>
        <v>1.17692718181818</v>
      </c>
      <c r="E44" s="30" t="n">
        <f aca="false">IF(N(E41)=0,"",E41-E38)</f>
        <v>1.92821414285714</v>
      </c>
      <c r="F44" s="31" t="n">
        <f aca="false">IF(N(F41)=0,"",F41-F38)</f>
        <v>3.27853308333333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123</v>
      </c>
      <c r="C5" s="17" t="n">
        <v>500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0.0015</v>
      </c>
      <c r="F5" s="20" t="n">
        <f aca="false">C5*E5</f>
        <v>0.75</v>
      </c>
    </row>
    <row r="6" customFormat="false" ht="15" hidden="false" customHeight="false" outlineLevel="0" collapsed="false">
      <c r="A6" s="2" t="n">
        <v>2</v>
      </c>
      <c r="B6" s="2" t="s">
        <v>91</v>
      </c>
      <c r="C6" s="17" t="n">
        <v>1000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0.0003</v>
      </c>
      <c r="F6" s="20" t="n">
        <f aca="false">C6*E6</f>
        <v>0.3</v>
      </c>
    </row>
    <row r="7" customFormat="false" ht="15" hidden="false" customHeight="false" outlineLevel="0" collapsed="false">
      <c r="A7" s="2" t="n">
        <v>3</v>
      </c>
      <c r="B7" s="2" t="s">
        <v>76</v>
      </c>
      <c r="C7" s="17" t="n">
        <v>300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0.00045</v>
      </c>
      <c r="F7" s="20" t="n">
        <f aca="false">C7*E7</f>
        <v>0.135</v>
      </c>
    </row>
    <row r="8" customFormat="false" ht="15" hidden="false" customHeight="false" outlineLevel="0" collapsed="false">
      <c r="A8" s="2" t="n">
        <v>4</v>
      </c>
      <c r="B8" s="2" t="s">
        <v>164</v>
      </c>
      <c r="C8" s="17" t="n">
        <v>1000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0.0006</v>
      </c>
      <c r="F8" s="20" t="n">
        <f aca="false">C8*E8</f>
        <v>0.6</v>
      </c>
    </row>
    <row r="9" customFormat="false" ht="15" hidden="false" customHeight="false" outlineLevel="0" collapsed="false">
      <c r="A9" s="2" t="n">
        <v>5</v>
      </c>
      <c r="B9" s="2" t="s">
        <v>68</v>
      </c>
      <c r="C9" s="17" t="n">
        <v>50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0.00065</v>
      </c>
      <c r="F9" s="20" t="n">
        <f aca="false">C9*E9</f>
        <v>0.0325</v>
      </c>
    </row>
    <row r="10" customFormat="false" ht="15" hidden="false" customHeight="false" outlineLevel="0" collapsed="false">
      <c r="A10" s="2" t="n">
        <v>6</v>
      </c>
      <c r="B10" s="2" t="s">
        <v>69</v>
      </c>
      <c r="C10" s="17" t="n">
        <v>45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0.0012</v>
      </c>
      <c r="F10" s="20" t="n">
        <f aca="false">C10*E10</f>
        <v>0.054</v>
      </c>
    </row>
    <row r="11" customFormat="false" ht="15" hidden="false" customHeight="false" outlineLevel="0" collapsed="false">
      <c r="A11" s="2" t="n">
        <v>7</v>
      </c>
      <c r="B11" s="2" t="s">
        <v>71</v>
      </c>
      <c r="C11" s="17" t="n">
        <v>10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0.0008</v>
      </c>
      <c r="F11" s="20" t="n">
        <f aca="false">C11*E11</f>
        <v>0.008</v>
      </c>
    </row>
    <row r="12" customFormat="false" ht="15" hidden="false" customHeight="false" outlineLevel="0" collapsed="false">
      <c r="A12" s="2" t="n">
        <v>8</v>
      </c>
      <c r="B12" s="2" t="s">
        <v>80</v>
      </c>
      <c r="C12" s="17" t="n">
        <v>200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0.0008</v>
      </c>
      <c r="F12" s="20" t="n">
        <f aca="false">C12*E12</f>
        <v>0.16</v>
      </c>
    </row>
    <row r="13" customFormat="false" ht="15" hidden="false" customHeight="false" outlineLevel="0" collapsed="false">
      <c r="A13" s="2" t="n">
        <v>9</v>
      </c>
      <c r="B13" s="2" t="s">
        <v>56</v>
      </c>
      <c r="C13" s="17" t="n">
        <v>200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0.0008</v>
      </c>
      <c r="F13" s="20" t="n">
        <f aca="false">C13*E13</f>
        <v>0.16</v>
      </c>
    </row>
    <row r="14" customFormat="false" ht="15" hidden="false" customHeight="false" outlineLevel="0" collapsed="false">
      <c r="A14" s="2" t="n">
        <v>10</v>
      </c>
      <c r="B14" s="2" t="s">
        <v>59</v>
      </c>
      <c r="C14" s="17" t="n">
        <v>200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0.00172727272727273</v>
      </c>
      <c r="F14" s="20" t="n">
        <f aca="false">C14*E14</f>
        <v>0.345454545454545</v>
      </c>
    </row>
    <row r="15" customFormat="false" ht="15" hidden="false" customHeight="false" outlineLevel="0" collapsed="false">
      <c r="A15" s="2" t="n">
        <v>11</v>
      </c>
      <c r="B15" s="2" t="s">
        <v>65</v>
      </c>
      <c r="C15" s="17" t="n">
        <v>200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0.0015</v>
      </c>
      <c r="F15" s="20" t="n">
        <f aca="false">C15*E15</f>
        <v>0.3</v>
      </c>
    </row>
    <row r="16" customFormat="false" ht="15" hidden="false" customHeight="false" outlineLevel="0" collapsed="false">
      <c r="A16" s="2" t="n">
        <v>12</v>
      </c>
      <c r="B16" s="2" t="s">
        <v>150</v>
      </c>
      <c r="C16" s="17" t="n">
        <v>100</v>
      </c>
      <c r="D16" s="2" t="str">
        <f aca="false">IFERROR(INDEX(LIST!$F$2:$F$131,MATCH(B16,LIST!$B$2:$B$131,0)),"")</f>
        <v>ml</v>
      </c>
      <c r="E16" s="18" t="n">
        <f aca="false">IFERROR(INDEX(LIST!$G$2:$G$131,MATCH(B16,LIST!$B$2:$B$131,0)),0)</f>
        <v>0.000594</v>
      </c>
      <c r="F16" s="20" t="n">
        <f aca="false">C16*E16</f>
        <v>0.0594</v>
      </c>
    </row>
    <row r="17" customFormat="false" ht="15" hidden="false" customHeight="false" outlineLevel="0" collapsed="false">
      <c r="A17" s="2" t="n">
        <v>13</v>
      </c>
      <c r="B17" s="2" t="s">
        <v>81</v>
      </c>
      <c r="C17" s="17" t="n">
        <v>240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0.0005</v>
      </c>
      <c r="F17" s="20" t="n">
        <f aca="false">C17*E17</f>
        <v>0.12</v>
      </c>
    </row>
    <row r="18" customFormat="false" ht="15" hidden="false" customHeight="false" outlineLevel="0" collapsed="false">
      <c r="A18" s="2" t="n">
        <v>14</v>
      </c>
      <c r="B18" s="2" t="s">
        <v>103</v>
      </c>
      <c r="C18" s="17" t="n">
        <v>2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0.0028</v>
      </c>
      <c r="F18" s="20" t="n">
        <f aca="false">C18*E18</f>
        <v>0.0056</v>
      </c>
    </row>
    <row r="19" customFormat="false" ht="15" hidden="false" customHeight="false" outlineLevel="0" collapsed="false">
      <c r="A19" s="2" t="n">
        <v>15</v>
      </c>
      <c r="B19" s="2" t="s">
        <v>94</v>
      </c>
      <c r="C19" s="17" t="n">
        <v>2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0.00409</v>
      </c>
      <c r="F19" s="20" t="n">
        <f aca="false">C19*E19</f>
        <v>0.00818</v>
      </c>
    </row>
    <row r="20" customFormat="false" ht="15" hidden="false" customHeight="false" outlineLevel="0" collapsed="false">
      <c r="A20" s="2" t="n">
        <v>16</v>
      </c>
      <c r="B20" s="2" t="s">
        <v>117</v>
      </c>
      <c r="C20" s="17" t="n">
        <v>15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0.0018</v>
      </c>
      <c r="F20" s="20" t="n">
        <f aca="false">C20*E20</f>
        <v>0.027</v>
      </c>
    </row>
    <row r="21" customFormat="false" ht="15" hidden="false" customHeight="false" outlineLevel="0" collapsed="false">
      <c r="A21" s="2" t="n">
        <v>17</v>
      </c>
      <c r="B21" s="2" t="s">
        <v>102</v>
      </c>
      <c r="C21" s="17" t="n">
        <v>15</v>
      </c>
      <c r="D21" s="2" t="str">
        <f aca="false">IFERROR(INDEX(LIST!$F$2:$F$131,MATCH(B21,LIST!$B$2:$B$131,0)),"")</f>
        <v>g</v>
      </c>
      <c r="E21" s="18" t="n">
        <f aca="false">IFERROR(INDEX(LIST!$G$2:$G$131,MATCH(B21,LIST!$B$2:$B$131,0)),0)</f>
        <v>0.002818</v>
      </c>
      <c r="F21" s="20" t="n">
        <f aca="false">C21*E21</f>
        <v>0.04227</v>
      </c>
    </row>
    <row r="22" customFormat="false" ht="15" hidden="false" customHeight="false" outlineLevel="0" collapsed="false">
      <c r="A22" s="2" t="n">
        <v>18</v>
      </c>
      <c r="B22" s="2" t="s">
        <v>99</v>
      </c>
      <c r="C22" s="17" t="n">
        <v>10</v>
      </c>
      <c r="D22" s="2" t="str">
        <f aca="false">IFERROR(INDEX(LIST!$F$2:$F$131,MATCH(B22,LIST!$B$2:$B$131,0)),"")</f>
        <v>g</v>
      </c>
      <c r="E22" s="18" t="n">
        <f aca="false">IFERROR(INDEX(LIST!$G$2:$G$131,MATCH(B22,LIST!$B$2:$B$131,0)),0)</f>
        <v>0.0018</v>
      </c>
      <c r="F22" s="20" t="n">
        <f aca="false">C22*E22</f>
        <v>0.018</v>
      </c>
    </row>
    <row r="23" customFormat="false" ht="15" hidden="false" customHeight="false" outlineLevel="0" collapsed="false">
      <c r="A23" s="2" t="n">
        <v>19</v>
      </c>
      <c r="B23" s="2" t="s">
        <v>118</v>
      </c>
      <c r="C23" s="17" t="n">
        <v>10</v>
      </c>
      <c r="D23" s="2" t="str">
        <f aca="false">IFERROR(INDEX(LIST!$F$2:$F$131,MATCH(B23,LIST!$B$2:$B$131,0)),"")</f>
        <v>g</v>
      </c>
      <c r="E23" s="18" t="n">
        <f aca="false">IFERROR(INDEX(LIST!$G$2:$G$131,MATCH(B23,LIST!$B$2:$B$131,0)),0)</f>
        <v>0.004</v>
      </c>
      <c r="F23" s="20" t="n">
        <f aca="false">C23*E23</f>
        <v>0.04</v>
      </c>
    </row>
    <row r="24" customFormat="false" ht="15" hidden="false" customHeight="false" outlineLevel="0" collapsed="false">
      <c r="A24" s="2" t="n">
        <v>20</v>
      </c>
      <c r="B24" s="2" t="s">
        <v>100</v>
      </c>
      <c r="C24" s="17" t="n">
        <v>10</v>
      </c>
      <c r="D24" s="2" t="str">
        <f aca="false">IFERROR(INDEX(LIST!$F$2:$F$131,MATCH(B24,LIST!$B$2:$B$131,0)),"")</f>
        <v>g</v>
      </c>
      <c r="E24" s="18" t="n">
        <f aca="false">IFERROR(INDEX(LIST!$G$2:$G$131,MATCH(B24,LIST!$B$2:$B$131,0)),0)</f>
        <v>0.00165</v>
      </c>
      <c r="F24" s="20" t="n">
        <f aca="false">C24*E24</f>
        <v>0.0165</v>
      </c>
    </row>
    <row r="25" customFormat="false" ht="15" hidden="false" customHeight="false" outlineLevel="0" collapsed="false">
      <c r="A25" s="2" t="n">
        <v>21</v>
      </c>
      <c r="B25" s="2" t="s">
        <v>115</v>
      </c>
      <c r="C25" s="17" t="n">
        <v>22.5</v>
      </c>
      <c r="D25" s="2" t="str">
        <f aca="false">IFERROR(INDEX(LIST!$F$2:$F$131,MATCH(B25,LIST!$B$2:$B$131,0)),"")</f>
        <v>g</v>
      </c>
      <c r="E25" s="18" t="n">
        <f aca="false">IFERROR(INDEX(LIST!$G$2:$G$131,MATCH(B25,LIST!$B$2:$B$131,0)),0)</f>
        <v>0.000165</v>
      </c>
      <c r="F25" s="20" t="n">
        <f aca="false">C25*E25</f>
        <v>0.0037125</v>
      </c>
    </row>
    <row r="26" customFormat="false" ht="15" hidden="false" customHeight="false" outlineLevel="0" collapsed="false">
      <c r="A26" s="2"/>
      <c r="B26" s="4" t="s">
        <v>191</v>
      </c>
      <c r="C26" s="2"/>
      <c r="D26" s="2"/>
      <c r="E26" s="2"/>
      <c r="F26" s="21" t="n">
        <f aca="false">SUM(F5:F25)</f>
        <v>3.18561704545455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2"/>
      <c r="B28" s="4" t="s">
        <v>192</v>
      </c>
      <c r="C28" s="44" t="s">
        <v>4</v>
      </c>
      <c r="D28" s="22" t="s">
        <v>5</v>
      </c>
      <c r="E28" s="23" t="s">
        <v>6</v>
      </c>
      <c r="F28" s="24" t="s">
        <v>7</v>
      </c>
    </row>
    <row r="29" customFormat="false" ht="15" hidden="false" customHeight="false" outlineLevel="0" collapsed="false">
      <c r="A29" s="2"/>
      <c r="B29" s="25" t="s">
        <v>212</v>
      </c>
      <c r="C29" s="45" t="n">
        <v>28</v>
      </c>
      <c r="D29" s="26" t="n">
        <v>16</v>
      </c>
      <c r="E29" s="27" t="n">
        <v>8</v>
      </c>
      <c r="F29" s="28" t="n">
        <v>4</v>
      </c>
    </row>
    <row r="30" customFormat="false" ht="15" hidden="false" customHeight="false" outlineLevel="0" collapsed="false">
      <c r="A30" s="2"/>
      <c r="B30" s="25" t="s">
        <v>194</v>
      </c>
      <c r="C30" s="46" t="n">
        <f aca="false">IF(C29=0,0,$F$26/C29)</f>
        <v>0.113772037337662</v>
      </c>
      <c r="D30" s="29" t="n">
        <f aca="false">IF(D29=0,0,$F$26/D29)</f>
        <v>0.199101065340909</v>
      </c>
      <c r="E30" s="30" t="n">
        <f aca="false">IF(E29=0,0,$F$26/E29)</f>
        <v>0.398202130681818</v>
      </c>
      <c r="F30" s="31" t="n">
        <f aca="false">IF(F29=0,0,$F$26/F29)</f>
        <v>0.796404261363636</v>
      </c>
    </row>
    <row r="31" customFormat="false" ht="15" hidden="false" customHeight="false" outlineLevel="0" collapsed="false">
      <c r="A31" s="2"/>
      <c r="B31" s="25" t="s">
        <v>195</v>
      </c>
      <c r="C31" s="47" t="s">
        <v>175</v>
      </c>
      <c r="D31" s="32" t="s">
        <v>176</v>
      </c>
      <c r="E31" s="33" t="s">
        <v>177</v>
      </c>
      <c r="F31" s="34" t="s">
        <v>178</v>
      </c>
    </row>
    <row r="32" customFormat="false" ht="15" hidden="false" customHeight="false" outlineLevel="0" collapsed="false">
      <c r="A32" s="2"/>
      <c r="B32" s="25" t="s">
        <v>196</v>
      </c>
      <c r="C32" s="46" t="n">
        <f aca="false">IFERROR(INDEX(LIST!$G$2:$G$131,MATCH(C31,LIST!$B$2:$B$131,0)),0)</f>
        <v>0.025</v>
      </c>
      <c r="D32" s="29" t="n">
        <f aca="false">IFERROR(INDEX(LIST!$G$2:$G$131,MATCH(D31,LIST!$B$2:$B$131,0)),0)</f>
        <v>0.021</v>
      </c>
      <c r="E32" s="30" t="n">
        <f aca="false">IFERROR(INDEX(LIST!$G$2:$G$131,MATCH(E31,LIST!$B$2:$B$131,0)),0)</f>
        <v>0.0315</v>
      </c>
      <c r="F32" s="31" t="n">
        <f aca="false">IFERROR(INDEX(LIST!$G$2:$G$131,MATCH(F31,LIST!$B$2:$B$131,0)),0)</f>
        <v>0.116666666666667</v>
      </c>
    </row>
    <row r="33" customFormat="false" ht="15" hidden="false" customHeight="false" outlineLevel="0" collapsed="false">
      <c r="A33" s="2"/>
      <c r="B33" s="25" t="s">
        <v>197</v>
      </c>
      <c r="C33" s="45" t="n">
        <v>1</v>
      </c>
      <c r="D33" s="26" t="n">
        <v>1</v>
      </c>
      <c r="E33" s="27" t="n">
        <v>2</v>
      </c>
      <c r="F33" s="28" t="n">
        <v>3</v>
      </c>
    </row>
    <row r="34" customFormat="false" ht="15" hidden="false" customHeight="false" outlineLevel="0" collapsed="false">
      <c r="A34" s="2"/>
      <c r="B34" s="25" t="s">
        <v>198</v>
      </c>
      <c r="C34" s="46" t="n">
        <f aca="false">C33*IFERROR(INDEX(LIST!$G$2:$G$131,MATCH("SPOON",LIST!$B$2:$B$131,0)),0)</f>
        <v>0.0064</v>
      </c>
      <c r="D34" s="29" t="n">
        <f aca="false">D33*IFERROR(INDEX(LIST!$G$2:$G$131,MATCH("SPOON",LIST!$B$2:$B$131,0)),0)</f>
        <v>0.0064</v>
      </c>
      <c r="E34" s="30" t="n">
        <f aca="false">E33*IFERROR(INDEX(LIST!$G$2:$G$131,MATCH("SPOON",LIST!$B$2:$B$131,0)),0)</f>
        <v>0.0128</v>
      </c>
      <c r="F34" s="31" t="n">
        <f aca="false">F33*IFERROR(INDEX(LIST!$G$2:$G$131,MATCH("SPOON",LIST!$B$2:$B$131,0)),0)</f>
        <v>0.0192</v>
      </c>
    </row>
    <row r="35" customFormat="false" ht="15" hidden="false" customHeight="false" outlineLevel="0" collapsed="false">
      <c r="A35" s="2"/>
      <c r="B35" s="25" t="s">
        <v>199</v>
      </c>
      <c r="C35" s="45" t="n">
        <v>0.5</v>
      </c>
      <c r="D35" s="26" t="n">
        <v>1</v>
      </c>
      <c r="E35" s="27" t="n">
        <v>2</v>
      </c>
      <c r="F35" s="28" t="n">
        <v>4</v>
      </c>
    </row>
    <row r="36" customFormat="false" ht="15" hidden="false" customHeight="false" outlineLevel="0" collapsed="false">
      <c r="A36" s="2"/>
      <c r="B36" s="25" t="s">
        <v>200</v>
      </c>
      <c r="C36" s="46" t="n">
        <f aca="false">C35*IFERROR(INDEX(LIST!$G$2:$G$131,MATCH("Bread",LIST!$B$2:$B$131,0)),0)</f>
        <v>0.006</v>
      </c>
      <c r="D36" s="29" t="n">
        <f aca="false">D35*IFERROR(INDEX(LIST!$G$2:$G$131,MATCH("Bread",LIST!$B$2:$B$131,0)),0)</f>
        <v>0.012</v>
      </c>
      <c r="E36" s="30" t="n">
        <f aca="false">E35*IFERROR(INDEX(LIST!$G$2:$G$131,MATCH("Bread",LIST!$B$2:$B$131,0)),0)</f>
        <v>0.024</v>
      </c>
      <c r="F36" s="31" t="n">
        <f aca="false">F35*IFERROR(INDEX(LIST!$G$2:$G$131,MATCH("Bread",LIST!$B$2:$B$131,0)),0)</f>
        <v>0.048</v>
      </c>
    </row>
    <row r="37" customFormat="false" ht="15" hidden="false" customHeight="false" outlineLevel="0" collapsed="false">
      <c r="A37" s="2"/>
      <c r="B37" s="25" t="s">
        <v>201</v>
      </c>
      <c r="C37" s="47" t="s">
        <v>186</v>
      </c>
      <c r="D37" s="32" t="s">
        <v>183</v>
      </c>
      <c r="E37" s="33" t="s">
        <v>184</v>
      </c>
      <c r="F37" s="34" t="s">
        <v>185</v>
      </c>
    </row>
    <row r="38" customFormat="false" ht="15" hidden="false" customHeight="false" outlineLevel="0" collapsed="false">
      <c r="A38" s="2"/>
      <c r="B38" s="25" t="s">
        <v>202</v>
      </c>
      <c r="C38" s="46" t="n">
        <f aca="false">IFERROR(INDEX(LIST!$G$2:$G$131,MATCH(C37,LIST!$B$2:$B$131,0)),0)</f>
        <v>0.01</v>
      </c>
      <c r="D38" s="29" t="n">
        <f aca="false">IFERROR(INDEX(LIST!$G$2:$G$131,MATCH(D37,LIST!$B$2:$B$131,0)),0)</f>
        <v>0.02</v>
      </c>
      <c r="E38" s="30" t="n">
        <f aca="false">IFERROR(INDEX(LIST!$G$2:$G$131,MATCH(E37,LIST!$B$2:$B$131,0)),0)</f>
        <v>0.03</v>
      </c>
      <c r="F38" s="31" t="n">
        <f aca="false">IFERROR(INDEX(LIST!$G$2:$G$131,MATCH(F37,LIST!$B$2:$B$131,0)),0)</f>
        <v>0.04</v>
      </c>
    </row>
    <row r="39" customFormat="false" ht="15" hidden="false" customHeight="false" outlineLevel="0" collapsed="false">
      <c r="A39" s="2"/>
      <c r="B39" s="25" t="s">
        <v>203</v>
      </c>
      <c r="C39" s="48" t="n">
        <v>0</v>
      </c>
      <c r="D39" s="35" t="n">
        <v>0</v>
      </c>
      <c r="E39" s="36" t="n">
        <v>0</v>
      </c>
      <c r="F39" s="37" t="n">
        <v>0</v>
      </c>
    </row>
    <row r="40" customFormat="false" ht="15" hidden="false" customHeight="false" outlineLevel="0" collapsed="false">
      <c r="A40" s="2"/>
      <c r="B40" s="25" t="s">
        <v>204</v>
      </c>
      <c r="C40" s="46" t="n">
        <f aca="false">C32+C34+C36+C38+C39</f>
        <v>0.0474</v>
      </c>
      <c r="D40" s="29" t="n">
        <f aca="false">D32+D34+D36+D38+D39</f>
        <v>0.0594</v>
      </c>
      <c r="E40" s="30" t="n">
        <f aca="false">E32+E34+E36+E38+E39</f>
        <v>0.0983</v>
      </c>
      <c r="F40" s="31" t="n">
        <f aca="false">F32+F34+F36+F38+F39</f>
        <v>0.223866666666667</v>
      </c>
    </row>
    <row r="41" customFormat="false" ht="15" hidden="false" customHeight="false" outlineLevel="0" collapsed="false">
      <c r="A41" s="2"/>
      <c r="B41" s="4" t="s">
        <v>205</v>
      </c>
      <c r="C41" s="49" t="n">
        <f aca="false">C30+C40</f>
        <v>0.161172037337662</v>
      </c>
      <c r="D41" s="38" t="n">
        <f aca="false">D30+D40</f>
        <v>0.258501065340909</v>
      </c>
      <c r="E41" s="39" t="n">
        <f aca="false">E30+E40</f>
        <v>0.496502130681818</v>
      </c>
      <c r="F41" s="40" t="n">
        <f aca="false">F30+F40</f>
        <v>1.0202709280303</v>
      </c>
    </row>
    <row r="42" customFormat="false" ht="15" hidden="false" customHeight="false" outlineLevel="0" collapsed="false">
      <c r="A42" s="2"/>
      <c r="B42" s="25" t="s">
        <v>9</v>
      </c>
      <c r="C42" s="48" t="n">
        <v>0.6</v>
      </c>
      <c r="D42" s="35" t="n">
        <v>1.1</v>
      </c>
      <c r="E42" s="36" t="n">
        <v>1.8</v>
      </c>
      <c r="F42" s="37" t="n">
        <v>3.2</v>
      </c>
    </row>
    <row r="43" customFormat="false" ht="15" hidden="false" customHeight="false" outlineLevel="0" collapsed="false">
      <c r="A43" s="2"/>
      <c r="B43" s="4" t="s">
        <v>206</v>
      </c>
      <c r="C43" s="50" t="n">
        <f aca="false">IF(C42=0,"",C41/C42)</f>
        <v>0.268620062229437</v>
      </c>
      <c r="D43" s="41" t="n">
        <f aca="false">IF(D42=0,"",D41/D42)</f>
        <v>0.235000968491736</v>
      </c>
      <c r="E43" s="42" t="n">
        <f aca="false">IF(E42=0,"",E41/E42)</f>
        <v>0.275834517045455</v>
      </c>
      <c r="F43" s="43" t="n">
        <f aca="false">IF(F42=0,"",F41/F42)</f>
        <v>0.31883466500947</v>
      </c>
    </row>
    <row r="44" customFormat="false" ht="15" hidden="false" customHeight="false" outlineLevel="0" collapsed="false">
      <c r="A44" s="2"/>
      <c r="B44" s="25" t="s">
        <v>11</v>
      </c>
      <c r="C44" s="48" t="n">
        <v>0.6</v>
      </c>
      <c r="D44" s="35" t="n">
        <v>1.35</v>
      </c>
      <c r="E44" s="36" t="n">
        <v>2.4</v>
      </c>
      <c r="F44" s="37" t="n">
        <v>4.4</v>
      </c>
    </row>
    <row r="45" customFormat="false" ht="15" hidden="false" customHeight="false" outlineLevel="0" collapsed="false">
      <c r="A45" s="2"/>
      <c r="B45" s="4" t="s">
        <v>207</v>
      </c>
      <c r="C45" s="50" t="n">
        <f aca="false">IF(N(C44)=0,"",C41/C44)</f>
        <v>0.268620062229437</v>
      </c>
      <c r="D45" s="41" t="n">
        <f aca="false">IF(N(D44)=0,"",D41/D44)</f>
        <v>0.191482270622896</v>
      </c>
      <c r="E45" s="42" t="n">
        <f aca="false">IF(N(E44)=0,"",E41/E44)</f>
        <v>0.206875887784091</v>
      </c>
      <c r="F45" s="43" t="n">
        <f aca="false">IF(N(F44)=0,"",F41/F44)</f>
        <v>0.231879756370523</v>
      </c>
    </row>
    <row r="46" customFormat="false" ht="15" hidden="false" customHeight="false" outlineLevel="0" collapsed="false">
      <c r="A46" s="2"/>
      <c r="B46" s="25" t="s">
        <v>208</v>
      </c>
      <c r="C46" s="46" t="n">
        <f aca="false">C42-C41</f>
        <v>0.438827962662338</v>
      </c>
      <c r="D46" s="29" t="n">
        <f aca="false">D42-D41</f>
        <v>0.841498934659091</v>
      </c>
      <c r="E46" s="30" t="n">
        <f aca="false">E42-E41</f>
        <v>1.30349786931818</v>
      </c>
      <c r="F46" s="31" t="n">
        <f aca="false">F42-F41</f>
        <v>2.1797290719697</v>
      </c>
    </row>
    <row r="47" customFormat="false" ht="15" hidden="false" customHeight="false" outlineLevel="0" collapsed="false">
      <c r="A47" s="2"/>
      <c r="B47" s="25" t="s">
        <v>209</v>
      </c>
      <c r="C47" s="46" t="n">
        <f aca="false">IF(N(C44)=0,"",C44-C41)</f>
        <v>0.438827962662338</v>
      </c>
      <c r="D47" s="29" t="n">
        <f aca="false">IF(N(D44)=0,"",D44-D41)</f>
        <v>1.09149893465909</v>
      </c>
      <c r="E47" s="30" t="n">
        <f aca="false">IF(N(E44)=0,"",E44-E41)</f>
        <v>1.90349786931818</v>
      </c>
      <c r="F47" s="31" t="n">
        <f aca="false">IF(N(F44)=0,"",F44-F41)</f>
        <v>3.3797290719697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36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0.001409</v>
      </c>
      <c r="F5" s="20" t="n">
        <f aca="false">C5*E5</f>
        <v>1.409</v>
      </c>
    </row>
    <row r="6" customFormat="false" ht="15" hidden="false" customHeight="false" outlineLevel="0" collapsed="false">
      <c r="A6" s="2" t="n">
        <v>2</v>
      </c>
      <c r="B6" s="2" t="s">
        <v>73</v>
      </c>
      <c r="C6" s="17" t="n">
        <v>50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0.001</v>
      </c>
      <c r="F6" s="20" t="n">
        <f aca="false">C6*E6</f>
        <v>0.05</v>
      </c>
    </row>
    <row r="7" customFormat="false" ht="15" hidden="false" customHeight="false" outlineLevel="0" collapsed="false">
      <c r="A7" s="2" t="n">
        <v>3</v>
      </c>
      <c r="B7" s="2" t="s">
        <v>74</v>
      </c>
      <c r="C7" s="17" t="n">
        <v>15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0.0011</v>
      </c>
      <c r="F7" s="20" t="n">
        <f aca="false">C7*E7</f>
        <v>0.0165</v>
      </c>
    </row>
    <row r="8" customFormat="false" ht="15" hidden="false" customHeight="false" outlineLevel="0" collapsed="false">
      <c r="A8" s="2" t="n">
        <v>4</v>
      </c>
      <c r="B8" s="2" t="s">
        <v>76</v>
      </c>
      <c r="C8" s="17" t="n">
        <v>240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0.00045</v>
      </c>
      <c r="F8" s="20" t="n">
        <f aca="false">C8*E8</f>
        <v>0.108</v>
      </c>
    </row>
    <row r="9" customFormat="false" ht="15" hidden="false" customHeight="false" outlineLevel="0" collapsed="false">
      <c r="A9" s="2" t="n">
        <v>5</v>
      </c>
      <c r="B9" s="2" t="s">
        <v>68</v>
      </c>
      <c r="C9" s="17" t="n">
        <v>90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0.00065</v>
      </c>
      <c r="F9" s="20" t="n">
        <f aca="false">C9*E9</f>
        <v>0.0585</v>
      </c>
    </row>
    <row r="10" customFormat="false" ht="15" hidden="false" customHeight="false" outlineLevel="0" collapsed="false">
      <c r="A10" s="2" t="n">
        <v>6</v>
      </c>
      <c r="B10" s="2" t="s">
        <v>81</v>
      </c>
      <c r="C10" s="17" t="n">
        <v>720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0.0005</v>
      </c>
      <c r="F10" s="20" t="n">
        <f aca="false">C10*E10</f>
        <v>0.36</v>
      </c>
    </row>
    <row r="11" customFormat="false" ht="15" hidden="false" customHeight="false" outlineLevel="0" collapsed="false">
      <c r="A11" s="2" t="n">
        <v>7</v>
      </c>
      <c r="B11" s="2" t="s">
        <v>67</v>
      </c>
      <c r="C11" s="17" t="n">
        <v>15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0.0015</v>
      </c>
      <c r="F11" s="20" t="n">
        <f aca="false">C11*E11</f>
        <v>0.0225</v>
      </c>
    </row>
    <row r="12" customFormat="false" ht="15" hidden="false" customHeight="false" outlineLevel="0" collapsed="false">
      <c r="A12" s="2" t="n">
        <v>8</v>
      </c>
      <c r="B12" s="2" t="s">
        <v>59</v>
      </c>
      <c r="C12" s="17" t="n">
        <v>5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0.00172727272727273</v>
      </c>
      <c r="F12" s="20" t="n">
        <f aca="false">C12*E12</f>
        <v>0.00863636363636364</v>
      </c>
    </row>
    <row r="13" customFormat="false" ht="15" hidden="false" customHeight="false" outlineLevel="0" collapsed="false">
      <c r="A13" s="2" t="n">
        <v>9</v>
      </c>
      <c r="B13" s="2" t="s">
        <v>150</v>
      </c>
      <c r="C13" s="17" t="n">
        <v>180</v>
      </c>
      <c r="D13" s="2" t="str">
        <f aca="false">IFERROR(INDEX(LIST!$F$2:$F$131,MATCH(B13,LIST!$B$2:$B$131,0)),"")</f>
        <v>ml</v>
      </c>
      <c r="E13" s="18" t="n">
        <f aca="false">IFERROR(INDEX(LIST!$G$2:$G$131,MATCH(B13,LIST!$B$2:$B$131,0)),0)</f>
        <v>0.000594</v>
      </c>
      <c r="F13" s="20" t="n">
        <f aca="false">C13*E13</f>
        <v>0.10692</v>
      </c>
    </row>
    <row r="14" customFormat="false" ht="15" hidden="false" customHeight="false" outlineLevel="0" collapsed="false">
      <c r="A14" s="2" t="n">
        <v>10</v>
      </c>
      <c r="B14" s="2" t="s">
        <v>115</v>
      </c>
      <c r="C14" s="17" t="n">
        <v>10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0.000165</v>
      </c>
      <c r="F14" s="20" t="n">
        <f aca="false">C14*E14</f>
        <v>0.00165</v>
      </c>
    </row>
    <row r="15" customFormat="false" ht="15" hidden="false" customHeight="false" outlineLevel="0" collapsed="false">
      <c r="A15" s="2" t="n">
        <v>11</v>
      </c>
      <c r="B15" s="2" t="s">
        <v>102</v>
      </c>
      <c r="C15" s="17" t="n">
        <v>15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0.002818</v>
      </c>
      <c r="F15" s="20" t="n">
        <f aca="false">C15*E15</f>
        <v>0.04227</v>
      </c>
    </row>
    <row r="16" customFormat="false" ht="15" hidden="false" customHeight="false" outlineLevel="0" collapsed="false">
      <c r="A16" s="2" t="n">
        <v>12</v>
      </c>
      <c r="B16" s="2" t="s">
        <v>96</v>
      </c>
      <c r="C16" s="17" t="n">
        <v>10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0.002272</v>
      </c>
      <c r="F16" s="20" t="n">
        <f aca="false">C16*E16</f>
        <v>0.02272</v>
      </c>
    </row>
    <row r="17" customFormat="false" ht="15" hidden="false" customHeight="false" outlineLevel="0" collapsed="false">
      <c r="A17" s="2" t="n">
        <v>13</v>
      </c>
      <c r="B17" s="2" t="s">
        <v>118</v>
      </c>
      <c r="C17" s="17" t="n">
        <v>15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0.004</v>
      </c>
      <c r="F17" s="20" t="n">
        <f aca="false">C17*E17</f>
        <v>0.06</v>
      </c>
    </row>
    <row r="18" customFormat="false" ht="15" hidden="false" customHeight="false" outlineLevel="0" collapsed="false">
      <c r="A18" s="2" t="n">
        <v>14</v>
      </c>
      <c r="B18" s="2" t="s">
        <v>108</v>
      </c>
      <c r="C18" s="17" t="n">
        <v>15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0.00165</v>
      </c>
      <c r="F18" s="20" t="n">
        <f aca="false">C18*E18</f>
        <v>0.02475</v>
      </c>
    </row>
    <row r="19" customFormat="false" ht="15" hidden="false" customHeight="false" outlineLevel="0" collapsed="false">
      <c r="A19" s="2"/>
      <c r="B19" s="4" t="s">
        <v>191</v>
      </c>
      <c r="C19" s="2"/>
      <c r="D19" s="2"/>
      <c r="E19" s="2"/>
      <c r="F19" s="21" t="n">
        <f aca="false">SUM(F5:F18)</f>
        <v>2.29144636363636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4" t="s">
        <v>192</v>
      </c>
      <c r="C21" s="22" t="s">
        <v>5</v>
      </c>
      <c r="D21" s="23" t="s">
        <v>6</v>
      </c>
      <c r="E21" s="24" t="s">
        <v>7</v>
      </c>
      <c r="F21" s="2"/>
    </row>
    <row r="22" customFormat="false" ht="15" hidden="false" customHeight="false" outlineLevel="0" collapsed="false">
      <c r="A22" s="2"/>
      <c r="B22" s="25" t="s">
        <v>212</v>
      </c>
      <c r="C22" s="26" t="n">
        <v>5</v>
      </c>
      <c r="D22" s="27" t="n">
        <v>2.5</v>
      </c>
      <c r="E22" s="28" t="n">
        <v>1.5</v>
      </c>
      <c r="F22" s="2"/>
    </row>
    <row r="23" customFormat="false" ht="15" hidden="false" customHeight="false" outlineLevel="0" collapsed="false">
      <c r="A23" s="2"/>
      <c r="B23" s="25" t="s">
        <v>194</v>
      </c>
      <c r="C23" s="29" t="n">
        <f aca="false">IF(C22=0,0,$F$19/C22)</f>
        <v>0.458289272727273</v>
      </c>
      <c r="D23" s="30" t="n">
        <f aca="false">IF(D22=0,0,$F$19/D22)</f>
        <v>0.916578545454546</v>
      </c>
      <c r="E23" s="31" t="n">
        <f aca="false">IF(E22=0,0,$F$19/E22)</f>
        <v>1.52763090909091</v>
      </c>
      <c r="F23" s="2"/>
    </row>
    <row r="24" customFormat="false" ht="15" hidden="false" customHeight="false" outlineLevel="0" collapsed="false">
      <c r="A24" s="2"/>
      <c r="B24" s="25" t="s">
        <v>195</v>
      </c>
      <c r="C24" s="32" t="s">
        <v>176</v>
      </c>
      <c r="D24" s="33" t="s">
        <v>177</v>
      </c>
      <c r="E24" s="34" t="s">
        <v>178</v>
      </c>
      <c r="F24" s="2"/>
    </row>
    <row r="25" customFormat="false" ht="15" hidden="false" customHeight="false" outlineLevel="0" collapsed="false">
      <c r="A25" s="2"/>
      <c r="B25" s="25" t="s">
        <v>196</v>
      </c>
      <c r="C25" s="29" t="n">
        <f aca="false">IFERROR(INDEX(LIST!$G$2:$G$131,MATCH(C24,LIST!$B$2:$B$131,0)),0)</f>
        <v>0.021</v>
      </c>
      <c r="D25" s="30" t="n">
        <f aca="false">IFERROR(INDEX(LIST!$G$2:$G$131,MATCH(D24,LIST!$B$2:$B$131,0)),0)</f>
        <v>0.0315</v>
      </c>
      <c r="E25" s="31" t="n">
        <f aca="false">IFERROR(INDEX(LIST!$G$2:$G$131,MATCH(E24,LIST!$B$2:$B$131,0)),0)</f>
        <v>0.116666666666667</v>
      </c>
      <c r="F25" s="2"/>
    </row>
    <row r="26" customFormat="false" ht="15" hidden="false" customHeight="false" outlineLevel="0" collapsed="false">
      <c r="A26" s="2"/>
      <c r="B26" s="25" t="s">
        <v>197</v>
      </c>
      <c r="C26" s="26" t="n">
        <v>1</v>
      </c>
      <c r="D26" s="27" t="n">
        <v>2</v>
      </c>
      <c r="E26" s="28" t="n">
        <v>3</v>
      </c>
      <c r="F26" s="2"/>
    </row>
    <row r="27" customFormat="false" ht="15" hidden="false" customHeight="false" outlineLevel="0" collapsed="false">
      <c r="A27" s="2"/>
      <c r="B27" s="25" t="s">
        <v>198</v>
      </c>
      <c r="C27" s="29" t="n">
        <f aca="false">C26*IFERROR(INDEX(LIST!$G$2:$G$131,MATCH("SPOON",LIST!$B$2:$B$131,0)),0)</f>
        <v>0.0064</v>
      </c>
      <c r="D27" s="30" t="n">
        <f aca="false">D26*IFERROR(INDEX(LIST!$G$2:$G$131,MATCH("SPOON",LIST!$B$2:$B$131,0)),0)</f>
        <v>0.0128</v>
      </c>
      <c r="E27" s="31" t="n">
        <f aca="false">E26*IFERROR(INDEX(LIST!$G$2:$G$131,MATCH("SPOON",LIST!$B$2:$B$131,0)),0)</f>
        <v>0.0192</v>
      </c>
      <c r="F27" s="2"/>
    </row>
    <row r="28" customFormat="false" ht="15" hidden="false" customHeight="false" outlineLevel="0" collapsed="false">
      <c r="A28" s="2"/>
      <c r="B28" s="25" t="s">
        <v>199</v>
      </c>
      <c r="C28" s="26" t="n">
        <v>0.667</v>
      </c>
      <c r="D28" s="27" t="n">
        <v>2</v>
      </c>
      <c r="E28" s="28" t="n">
        <v>4</v>
      </c>
      <c r="F28" s="2"/>
    </row>
    <row r="29" customFormat="false" ht="15" hidden="false" customHeight="false" outlineLevel="0" collapsed="false">
      <c r="A29" s="2"/>
      <c r="B29" s="25" t="s">
        <v>200</v>
      </c>
      <c r="C29" s="29" t="n">
        <f aca="false">C28*IFERROR(INDEX(LIST!$G$2:$G$131,MATCH("Bread",LIST!$B$2:$B$131,0)),0)</f>
        <v>0.008004</v>
      </c>
      <c r="D29" s="30" t="n">
        <f aca="false">D28*IFERROR(INDEX(LIST!$G$2:$G$131,MATCH("Bread",LIST!$B$2:$B$131,0)),0)</f>
        <v>0.024</v>
      </c>
      <c r="E29" s="31" t="n">
        <f aca="false">E28*IFERROR(INDEX(LIST!$G$2:$G$131,MATCH("Bread",LIST!$B$2:$B$131,0)),0)</f>
        <v>0.048</v>
      </c>
      <c r="F29" s="2"/>
    </row>
    <row r="30" customFormat="false" ht="15" hidden="false" customHeight="false" outlineLevel="0" collapsed="false">
      <c r="A30" s="2"/>
      <c r="B30" s="25" t="s">
        <v>201</v>
      </c>
      <c r="C30" s="32" t="s">
        <v>183</v>
      </c>
      <c r="D30" s="33" t="s">
        <v>184</v>
      </c>
      <c r="E30" s="34" t="s">
        <v>185</v>
      </c>
      <c r="F30" s="2"/>
    </row>
    <row r="31" customFormat="false" ht="15" hidden="false" customHeight="false" outlineLevel="0" collapsed="false">
      <c r="A31" s="2"/>
      <c r="B31" s="25" t="s">
        <v>202</v>
      </c>
      <c r="C31" s="29" t="n">
        <f aca="false">IFERROR(INDEX(LIST!$G$2:$G$131,MATCH(C30,LIST!$B$2:$B$131,0)),0)</f>
        <v>0.02</v>
      </c>
      <c r="D31" s="30" t="n">
        <f aca="false">IFERROR(INDEX(LIST!$G$2:$G$131,MATCH(D30,LIST!$B$2:$B$131,0)),0)</f>
        <v>0.03</v>
      </c>
      <c r="E31" s="31" t="n">
        <f aca="false">IFERROR(INDEX(LIST!$G$2:$G$131,MATCH(E30,LIST!$B$2:$B$131,0)),0)</f>
        <v>0.04</v>
      </c>
      <c r="F31" s="2"/>
    </row>
    <row r="32" customFormat="false" ht="15" hidden="false" customHeight="false" outlineLevel="0" collapsed="false">
      <c r="A32" s="2"/>
      <c r="B32" s="25" t="s">
        <v>203</v>
      </c>
      <c r="C32" s="35" t="n">
        <v>0</v>
      </c>
      <c r="D32" s="36" t="n">
        <v>0</v>
      </c>
      <c r="E32" s="37" t="n">
        <v>0</v>
      </c>
      <c r="F32" s="2"/>
    </row>
    <row r="33" customFormat="false" ht="15" hidden="false" customHeight="false" outlineLevel="0" collapsed="false">
      <c r="A33" s="2"/>
      <c r="B33" s="25" t="s">
        <v>204</v>
      </c>
      <c r="C33" s="29" t="n">
        <f aca="false">C25+C27+C29+C31+C32</f>
        <v>0.055404</v>
      </c>
      <c r="D33" s="30" t="n">
        <f aca="false">D25+D27+D29+D31+D32</f>
        <v>0.0983</v>
      </c>
      <c r="E33" s="31" t="n">
        <f aca="false">E25+E27+E29+E31+E32</f>
        <v>0.223866666666667</v>
      </c>
      <c r="F33" s="2"/>
    </row>
    <row r="34" customFormat="false" ht="15" hidden="false" customHeight="false" outlineLevel="0" collapsed="false">
      <c r="A34" s="2"/>
      <c r="B34" s="4" t="s">
        <v>205</v>
      </c>
      <c r="C34" s="38" t="n">
        <f aca="false">C23+C33</f>
        <v>0.513693272727273</v>
      </c>
      <c r="D34" s="39" t="n">
        <f aca="false">D23+D33</f>
        <v>1.01487854545455</v>
      </c>
      <c r="E34" s="40" t="n">
        <f aca="false">E23+E33</f>
        <v>1.75149757575758</v>
      </c>
      <c r="F34" s="2"/>
    </row>
    <row r="35" customFormat="false" ht="15" hidden="false" customHeight="false" outlineLevel="0" collapsed="false">
      <c r="A35" s="2"/>
      <c r="B35" s="25" t="s">
        <v>9</v>
      </c>
      <c r="C35" s="35" t="n">
        <v>1.8</v>
      </c>
      <c r="D35" s="36" t="n">
        <v>3.4</v>
      </c>
      <c r="E35" s="37" t="n">
        <v>6.2</v>
      </c>
      <c r="F35" s="2"/>
    </row>
    <row r="36" customFormat="false" ht="15" hidden="false" customHeight="false" outlineLevel="0" collapsed="false">
      <c r="A36" s="2"/>
      <c r="B36" s="4" t="s">
        <v>206</v>
      </c>
      <c r="C36" s="41" t="n">
        <f aca="false">IF(C35=0,"",C34/C35)</f>
        <v>0.285385151515152</v>
      </c>
      <c r="D36" s="42" t="n">
        <f aca="false">IF(D35=0,"",D34/D35)</f>
        <v>0.298493689839572</v>
      </c>
      <c r="E36" s="43" t="n">
        <f aca="false">IF(E35=0,"",E34/E35)</f>
        <v>0.282499608993157</v>
      </c>
      <c r="F36" s="2"/>
    </row>
    <row r="37" customFormat="false" ht="15" hidden="false" customHeight="false" outlineLevel="0" collapsed="false">
      <c r="A37" s="2"/>
      <c r="B37" s="25" t="s">
        <v>11</v>
      </c>
      <c r="C37" s="35" t="n">
        <v>2.2</v>
      </c>
      <c r="D37" s="36" t="n">
        <v>4</v>
      </c>
      <c r="E37" s="37" t="n">
        <v>7.5</v>
      </c>
      <c r="F37" s="2"/>
    </row>
    <row r="38" customFormat="false" ht="15" hidden="false" customHeight="false" outlineLevel="0" collapsed="false">
      <c r="A38" s="2"/>
      <c r="B38" s="4" t="s">
        <v>207</v>
      </c>
      <c r="C38" s="41" t="n">
        <f aca="false">IF(N(C37)=0,"",C34/C37)</f>
        <v>0.23349694214876</v>
      </c>
      <c r="D38" s="42" t="n">
        <f aca="false">IF(N(D37)=0,"",D34/D37)</f>
        <v>0.253719636363636</v>
      </c>
      <c r="E38" s="43" t="n">
        <f aca="false">IF(N(E37)=0,"",E34/E37)</f>
        <v>0.23353301010101</v>
      </c>
      <c r="F38" s="2"/>
    </row>
    <row r="39" customFormat="false" ht="15" hidden="false" customHeight="false" outlineLevel="0" collapsed="false">
      <c r="A39" s="2"/>
      <c r="B39" s="25" t="s">
        <v>208</v>
      </c>
      <c r="C39" s="29" t="n">
        <f aca="false">C35-C34</f>
        <v>1.28630672727273</v>
      </c>
      <c r="D39" s="30" t="n">
        <f aca="false">D35-D34</f>
        <v>2.38512145454545</v>
      </c>
      <c r="E39" s="31" t="n">
        <f aca="false">E35-E34</f>
        <v>4.44850242424242</v>
      </c>
      <c r="F39" s="2"/>
    </row>
    <row r="40" customFormat="false" ht="15" hidden="false" customHeight="false" outlineLevel="0" collapsed="false">
      <c r="A40" s="2"/>
      <c r="B40" s="25" t="s">
        <v>209</v>
      </c>
      <c r="C40" s="29" t="n">
        <f aca="false">IF(N(C37)=0,"",C37-C34)</f>
        <v>1.68630672727273</v>
      </c>
      <c r="D40" s="30" t="n">
        <f aca="false">IF(N(D37)=0,"",D37-D34)</f>
        <v>2.98512145454545</v>
      </c>
      <c r="E40" s="31" t="n">
        <f aca="false">IF(N(E37)=0,"",E37-E34)</f>
        <v>5.74850242424242</v>
      </c>
      <c r="F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38</v>
      </c>
      <c r="C5" s="17" t="n">
        <v>450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0.000857777777777778</v>
      </c>
      <c r="F5" s="20" t="n">
        <f aca="false">C5*E5</f>
        <v>0.386</v>
      </c>
    </row>
    <row r="6" customFormat="false" ht="15" hidden="false" customHeight="false" outlineLevel="0" collapsed="false">
      <c r="A6" s="2" t="n">
        <v>2</v>
      </c>
      <c r="B6" s="2" t="s">
        <v>71</v>
      </c>
      <c r="C6" s="17" t="n">
        <v>10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0.0008</v>
      </c>
      <c r="F6" s="20" t="n">
        <f aca="false">C6*E6</f>
        <v>0.008</v>
      </c>
    </row>
    <row r="7" customFormat="false" ht="15" hidden="false" customHeight="false" outlineLevel="0" collapsed="false">
      <c r="A7" s="2" t="n">
        <v>3</v>
      </c>
      <c r="B7" s="2" t="s">
        <v>68</v>
      </c>
      <c r="C7" s="17" t="n">
        <v>45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0.00065</v>
      </c>
      <c r="F7" s="20" t="n">
        <f aca="false">C7*E7</f>
        <v>0.02925</v>
      </c>
    </row>
    <row r="8" customFormat="false" ht="15" hidden="false" customHeight="false" outlineLevel="0" collapsed="false">
      <c r="A8" s="2" t="n">
        <v>4</v>
      </c>
      <c r="B8" s="2" t="s">
        <v>79</v>
      </c>
      <c r="C8" s="17" t="n">
        <v>480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0.00036</v>
      </c>
      <c r="F8" s="20" t="n">
        <f aca="false">C8*E8</f>
        <v>0.1728</v>
      </c>
    </row>
    <row r="9" customFormat="false" ht="15" hidden="false" customHeight="false" outlineLevel="0" collapsed="false">
      <c r="A9" s="2" t="n">
        <v>5</v>
      </c>
      <c r="B9" s="2" t="s">
        <v>66</v>
      </c>
      <c r="C9" s="17" t="n">
        <v>240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0.00055</v>
      </c>
      <c r="F9" s="20" t="n">
        <f aca="false">C9*E9</f>
        <v>0.132</v>
      </c>
    </row>
    <row r="10" customFormat="false" ht="15" hidden="false" customHeight="false" outlineLevel="0" collapsed="false">
      <c r="A10" s="2" t="n">
        <v>6</v>
      </c>
      <c r="B10" s="2" t="s">
        <v>81</v>
      </c>
      <c r="C10" s="17" t="n">
        <v>240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0.0005</v>
      </c>
      <c r="F10" s="20" t="n">
        <f aca="false">C10*E10</f>
        <v>0.12</v>
      </c>
    </row>
    <row r="11" customFormat="false" ht="15" hidden="false" customHeight="false" outlineLevel="0" collapsed="false">
      <c r="A11" s="2" t="n">
        <v>7</v>
      </c>
      <c r="B11" s="2" t="s">
        <v>76</v>
      </c>
      <c r="C11" s="17" t="n">
        <v>180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0.00045</v>
      </c>
      <c r="F11" s="20" t="n">
        <f aca="false">C11*E11</f>
        <v>0.081</v>
      </c>
    </row>
    <row r="12" customFormat="false" ht="15" hidden="false" customHeight="false" outlineLevel="0" collapsed="false">
      <c r="A12" s="2" t="n">
        <v>8</v>
      </c>
      <c r="B12" s="2" t="s">
        <v>150</v>
      </c>
      <c r="C12" s="17" t="n">
        <v>60</v>
      </c>
      <c r="D12" s="2" t="str">
        <f aca="false">IFERROR(INDEX(LIST!$F$2:$F$131,MATCH(B12,LIST!$B$2:$B$131,0)),"")</f>
        <v>ml</v>
      </c>
      <c r="E12" s="18" t="n">
        <f aca="false">IFERROR(INDEX(LIST!$G$2:$G$131,MATCH(B12,LIST!$B$2:$B$131,0)),0)</f>
        <v>0.000594</v>
      </c>
      <c r="F12" s="20" t="n">
        <f aca="false">C12*E12</f>
        <v>0.03564</v>
      </c>
    </row>
    <row r="13" customFormat="false" ht="15" hidden="false" customHeight="false" outlineLevel="0" collapsed="false">
      <c r="A13" s="2" t="n">
        <v>9</v>
      </c>
      <c r="B13" s="2" t="s">
        <v>126</v>
      </c>
      <c r="C13" s="17" t="n">
        <v>30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0.00075</v>
      </c>
      <c r="F13" s="20" t="n">
        <f aca="false">C13*E13</f>
        <v>0.0225</v>
      </c>
    </row>
    <row r="14" customFormat="false" ht="15" hidden="false" customHeight="false" outlineLevel="0" collapsed="false">
      <c r="A14" s="2" t="n">
        <v>10</v>
      </c>
      <c r="B14" s="2" t="s">
        <v>161</v>
      </c>
      <c r="C14" s="17" t="n">
        <v>30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0.0009696</v>
      </c>
      <c r="F14" s="20" t="n">
        <f aca="false">C14*E14</f>
        <v>0.029088</v>
      </c>
    </row>
    <row r="15" customFormat="false" ht="15" hidden="false" customHeight="false" outlineLevel="0" collapsed="false">
      <c r="A15" s="2" t="n">
        <v>11</v>
      </c>
      <c r="B15" s="2" t="s">
        <v>166</v>
      </c>
      <c r="C15" s="17" t="n">
        <v>30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0.000166666666666667</v>
      </c>
      <c r="F15" s="20" t="n">
        <f aca="false">C15*E15</f>
        <v>0.005</v>
      </c>
    </row>
    <row r="16" customFormat="false" ht="15" hidden="false" customHeight="false" outlineLevel="0" collapsed="false">
      <c r="A16" s="2" t="n">
        <v>12</v>
      </c>
      <c r="B16" s="2" t="s">
        <v>151</v>
      </c>
      <c r="C16" s="17" t="n">
        <v>30</v>
      </c>
      <c r="D16" s="2" t="str">
        <f aca="false">IFERROR(INDEX(LIST!$F$2:$F$131,MATCH(B16,LIST!$B$2:$B$131,0)),"")</f>
        <v>ml</v>
      </c>
      <c r="E16" s="18" t="n">
        <f aca="false">IFERROR(INDEX(LIST!$G$2:$G$131,MATCH(B16,LIST!$B$2:$B$131,0)),0)</f>
        <v>0.000308</v>
      </c>
      <c r="F16" s="20" t="n">
        <f aca="false">C16*E16</f>
        <v>0.00924</v>
      </c>
    </row>
    <row r="17" customFormat="false" ht="15" hidden="false" customHeight="false" outlineLevel="0" collapsed="false">
      <c r="A17" s="2" t="n">
        <v>13</v>
      </c>
      <c r="B17" s="2" t="s">
        <v>115</v>
      </c>
      <c r="C17" s="17" t="n">
        <v>15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0.000165</v>
      </c>
      <c r="F17" s="20" t="n">
        <f aca="false">C17*E17</f>
        <v>0.002475</v>
      </c>
    </row>
    <row r="18" customFormat="false" ht="15" hidden="false" customHeight="false" outlineLevel="0" collapsed="false">
      <c r="A18" s="2" t="n">
        <v>14</v>
      </c>
      <c r="B18" s="2" t="s">
        <v>108</v>
      </c>
      <c r="C18" s="17" t="n">
        <v>10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0.00165</v>
      </c>
      <c r="F18" s="20" t="n">
        <f aca="false">C18*E18</f>
        <v>0.0165</v>
      </c>
    </row>
    <row r="19" customFormat="false" ht="15" hidden="false" customHeight="false" outlineLevel="0" collapsed="false">
      <c r="A19" s="2" t="n">
        <v>15</v>
      </c>
      <c r="B19" s="2" t="s">
        <v>117</v>
      </c>
      <c r="C19" s="17" t="n">
        <v>5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0.0018</v>
      </c>
      <c r="F19" s="20" t="n">
        <f aca="false">C19*E19</f>
        <v>0.009</v>
      </c>
    </row>
    <row r="20" customFormat="false" ht="15" hidden="false" customHeight="false" outlineLevel="0" collapsed="false">
      <c r="A20" s="2" t="n">
        <v>16</v>
      </c>
      <c r="B20" s="2" t="s">
        <v>118</v>
      </c>
      <c r="C20" s="17" t="n">
        <v>5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0.004</v>
      </c>
      <c r="F20" s="20" t="n">
        <f aca="false">C20*E20</f>
        <v>0.02</v>
      </c>
    </row>
    <row r="21" customFormat="false" ht="15" hidden="false" customHeight="false" outlineLevel="0" collapsed="false">
      <c r="A21" s="2" t="n">
        <v>17</v>
      </c>
      <c r="B21" s="2" t="s">
        <v>96</v>
      </c>
      <c r="C21" s="17" t="n">
        <v>2.5</v>
      </c>
      <c r="D21" s="2" t="str">
        <f aca="false">IFERROR(INDEX(LIST!$F$2:$F$131,MATCH(B21,LIST!$B$2:$B$131,0)),"")</f>
        <v>g</v>
      </c>
      <c r="E21" s="18" t="n">
        <f aca="false">IFERROR(INDEX(LIST!$G$2:$G$131,MATCH(B21,LIST!$B$2:$B$131,0)),0)</f>
        <v>0.002272</v>
      </c>
      <c r="F21" s="20" t="n">
        <f aca="false">C21*E21</f>
        <v>0.00568</v>
      </c>
    </row>
    <row r="22" customFormat="false" ht="15" hidden="false" customHeight="false" outlineLevel="0" collapsed="false">
      <c r="A22" s="2" t="n">
        <v>18</v>
      </c>
      <c r="B22" s="2" t="s">
        <v>100</v>
      </c>
      <c r="C22" s="17" t="n">
        <v>2.5</v>
      </c>
      <c r="D22" s="2" t="str">
        <f aca="false">IFERROR(INDEX(LIST!$F$2:$F$131,MATCH(B22,LIST!$B$2:$B$131,0)),"")</f>
        <v>g</v>
      </c>
      <c r="E22" s="18" t="n">
        <f aca="false">IFERROR(INDEX(LIST!$G$2:$G$131,MATCH(B22,LIST!$B$2:$B$131,0)),0)</f>
        <v>0.00165</v>
      </c>
      <c r="F22" s="20" t="n">
        <f aca="false">C22*E22</f>
        <v>0.004125</v>
      </c>
    </row>
    <row r="23" customFormat="false" ht="15" hidden="false" customHeight="false" outlineLevel="0" collapsed="false">
      <c r="A23" s="2" t="n">
        <v>19</v>
      </c>
      <c r="B23" s="2" t="s">
        <v>99</v>
      </c>
      <c r="C23" s="17" t="n">
        <v>2.5</v>
      </c>
      <c r="D23" s="2" t="str">
        <f aca="false">IFERROR(INDEX(LIST!$F$2:$F$131,MATCH(B23,LIST!$B$2:$B$131,0)),"")</f>
        <v>g</v>
      </c>
      <c r="E23" s="18" t="n">
        <f aca="false">IFERROR(INDEX(LIST!$G$2:$G$131,MATCH(B23,LIST!$B$2:$B$131,0)),0)</f>
        <v>0.0018</v>
      </c>
      <c r="F23" s="20" t="n">
        <f aca="false">C23*E23</f>
        <v>0.0045</v>
      </c>
    </row>
    <row r="24" customFormat="false" ht="15" hidden="false" customHeight="false" outlineLevel="0" collapsed="false">
      <c r="A24" s="2" t="n">
        <v>20</v>
      </c>
      <c r="B24" s="2" t="s">
        <v>102</v>
      </c>
      <c r="C24" s="17" t="n">
        <v>2.5</v>
      </c>
      <c r="D24" s="2" t="str">
        <f aca="false">IFERROR(INDEX(LIST!$F$2:$F$131,MATCH(B24,LIST!$B$2:$B$131,0)),"")</f>
        <v>g</v>
      </c>
      <c r="E24" s="18" t="n">
        <f aca="false">IFERROR(INDEX(LIST!$G$2:$G$131,MATCH(B24,LIST!$B$2:$B$131,0)),0)</f>
        <v>0.002818</v>
      </c>
      <c r="F24" s="20" t="n">
        <f aca="false">C24*E24</f>
        <v>0.007045</v>
      </c>
    </row>
    <row r="25" customFormat="false" ht="15" hidden="false" customHeight="false" outlineLevel="0" collapsed="false">
      <c r="A25" s="2"/>
      <c r="B25" s="4" t="s">
        <v>191</v>
      </c>
      <c r="C25" s="2"/>
      <c r="D25" s="2"/>
      <c r="E25" s="2"/>
      <c r="F25" s="21" t="n">
        <f aca="false">SUM(F5:F24)</f>
        <v>1.099843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false" outlineLevel="0" collapsed="false">
      <c r="A27" s="2"/>
      <c r="B27" s="4" t="s">
        <v>192</v>
      </c>
      <c r="C27" s="22" t="s">
        <v>5</v>
      </c>
      <c r="D27" s="23" t="s">
        <v>6</v>
      </c>
      <c r="E27" s="24" t="s">
        <v>7</v>
      </c>
      <c r="F27" s="2"/>
    </row>
    <row r="28" customFormat="false" ht="15" hidden="false" customHeight="false" outlineLevel="0" collapsed="false">
      <c r="A28" s="2"/>
      <c r="B28" s="25" t="s">
        <v>212</v>
      </c>
      <c r="C28" s="26" t="n">
        <v>2</v>
      </c>
      <c r="D28" s="27" t="n">
        <v>1</v>
      </c>
      <c r="E28" s="28" t="n">
        <v>0.5</v>
      </c>
      <c r="F28" s="2"/>
    </row>
    <row r="29" customFormat="false" ht="15" hidden="false" customHeight="false" outlineLevel="0" collapsed="false">
      <c r="A29" s="2"/>
      <c r="B29" s="25" t="s">
        <v>194</v>
      </c>
      <c r="C29" s="29" t="n">
        <f aca="false">IF(C28=0,0,$F$25/C28)</f>
        <v>0.5499215</v>
      </c>
      <c r="D29" s="30" t="n">
        <f aca="false">IF(D28=0,0,$F$25/D28)</f>
        <v>1.099843</v>
      </c>
      <c r="E29" s="31" t="n">
        <f aca="false">IF(E28=0,0,$F$25/E28)</f>
        <v>2.199686</v>
      </c>
      <c r="F29" s="2"/>
    </row>
    <row r="30" customFormat="false" ht="15" hidden="false" customHeight="false" outlineLevel="0" collapsed="false">
      <c r="A30" s="2"/>
      <c r="B30" s="25" t="s">
        <v>195</v>
      </c>
      <c r="C30" s="32" t="s">
        <v>176</v>
      </c>
      <c r="D30" s="33" t="s">
        <v>177</v>
      </c>
      <c r="E30" s="34" t="s">
        <v>178</v>
      </c>
      <c r="F30" s="2"/>
    </row>
    <row r="31" customFormat="false" ht="15" hidden="false" customHeight="false" outlineLevel="0" collapsed="false">
      <c r="A31" s="2"/>
      <c r="B31" s="25" t="s">
        <v>196</v>
      </c>
      <c r="C31" s="29" t="n">
        <f aca="false">IFERROR(INDEX(LIST!$G$2:$G$131,MATCH(C30,LIST!$B$2:$B$131,0)),0)</f>
        <v>0.021</v>
      </c>
      <c r="D31" s="30" t="n">
        <f aca="false">IFERROR(INDEX(LIST!$G$2:$G$131,MATCH(D30,LIST!$B$2:$B$131,0)),0)</f>
        <v>0.0315</v>
      </c>
      <c r="E31" s="31" t="n">
        <f aca="false">IFERROR(INDEX(LIST!$G$2:$G$131,MATCH(E30,LIST!$B$2:$B$131,0)),0)</f>
        <v>0.116666666666667</v>
      </c>
      <c r="F31" s="2"/>
    </row>
    <row r="32" customFormat="false" ht="15" hidden="false" customHeight="false" outlineLevel="0" collapsed="false">
      <c r="A32" s="2"/>
      <c r="B32" s="25" t="s">
        <v>197</v>
      </c>
      <c r="C32" s="26" t="n">
        <v>1</v>
      </c>
      <c r="D32" s="27" t="n">
        <v>2</v>
      </c>
      <c r="E32" s="28" t="n">
        <v>3</v>
      </c>
      <c r="F32" s="2"/>
    </row>
    <row r="33" customFormat="false" ht="15" hidden="false" customHeight="false" outlineLevel="0" collapsed="false">
      <c r="A33" s="2"/>
      <c r="B33" s="25" t="s">
        <v>198</v>
      </c>
      <c r="C33" s="29" t="n">
        <f aca="false">C32*IFERROR(INDEX(LIST!$G$2:$G$131,MATCH("SPOON",LIST!$B$2:$B$131,0)),0)</f>
        <v>0.0064</v>
      </c>
      <c r="D33" s="30" t="n">
        <f aca="false">D32*IFERROR(INDEX(LIST!$G$2:$G$131,MATCH("SPOON",LIST!$B$2:$B$131,0)),0)</f>
        <v>0.0128</v>
      </c>
      <c r="E33" s="31" t="n">
        <f aca="false">E32*IFERROR(INDEX(LIST!$G$2:$G$131,MATCH("SPOON",LIST!$B$2:$B$131,0)),0)</f>
        <v>0.0192</v>
      </c>
      <c r="F33" s="2"/>
    </row>
    <row r="34" customFormat="false" ht="15" hidden="false" customHeight="false" outlineLevel="0" collapsed="false">
      <c r="A34" s="2"/>
      <c r="B34" s="25" t="s">
        <v>199</v>
      </c>
      <c r="C34" s="26" t="n">
        <v>0.667</v>
      </c>
      <c r="D34" s="27" t="n">
        <v>2</v>
      </c>
      <c r="E34" s="28" t="n">
        <v>2</v>
      </c>
      <c r="F34" s="2"/>
    </row>
    <row r="35" customFormat="false" ht="15" hidden="false" customHeight="false" outlineLevel="0" collapsed="false">
      <c r="A35" s="2"/>
      <c r="B35" s="25" t="s">
        <v>200</v>
      </c>
      <c r="C35" s="29" t="n">
        <f aca="false">C34*IFERROR(INDEX(LIST!$G$2:$G$131,MATCH("Bread",LIST!$B$2:$B$131,0)),0)</f>
        <v>0.008004</v>
      </c>
      <c r="D35" s="30" t="n">
        <f aca="false">D34*IFERROR(INDEX(LIST!$G$2:$G$131,MATCH("Bread",LIST!$B$2:$B$131,0)),0)</f>
        <v>0.024</v>
      </c>
      <c r="E35" s="31" t="n">
        <f aca="false">E34*IFERROR(INDEX(LIST!$G$2:$G$131,MATCH("Bread",LIST!$B$2:$B$131,0)),0)</f>
        <v>0.024</v>
      </c>
      <c r="F35" s="2"/>
    </row>
    <row r="36" customFormat="false" ht="15" hidden="false" customHeight="false" outlineLevel="0" collapsed="false">
      <c r="A36" s="2"/>
      <c r="B36" s="25" t="s">
        <v>201</v>
      </c>
      <c r="C36" s="32" t="s">
        <v>183</v>
      </c>
      <c r="D36" s="33" t="s">
        <v>184</v>
      </c>
      <c r="E36" s="34" t="s">
        <v>184</v>
      </c>
      <c r="F36" s="2"/>
    </row>
    <row r="37" customFormat="false" ht="15" hidden="false" customHeight="false" outlineLevel="0" collapsed="false">
      <c r="A37" s="2"/>
      <c r="B37" s="25" t="s">
        <v>202</v>
      </c>
      <c r="C37" s="29" t="n">
        <f aca="false">IFERROR(INDEX(LIST!$G$2:$G$131,MATCH(C36,LIST!$B$2:$B$131,0)),0)</f>
        <v>0.02</v>
      </c>
      <c r="D37" s="30" t="n">
        <f aca="false">IFERROR(INDEX(LIST!$G$2:$G$131,MATCH(D36,LIST!$B$2:$B$131,0)),0)</f>
        <v>0.03</v>
      </c>
      <c r="E37" s="31" t="n">
        <f aca="false">IFERROR(INDEX(LIST!$G$2:$G$131,MATCH(E36,LIST!$B$2:$B$131,0)),0)</f>
        <v>0.03</v>
      </c>
      <c r="F37" s="2"/>
    </row>
    <row r="38" customFormat="false" ht="15" hidden="false" customHeight="false" outlineLevel="0" collapsed="false">
      <c r="A38" s="2"/>
      <c r="B38" s="25" t="s">
        <v>203</v>
      </c>
      <c r="C38" s="35" t="n">
        <v>0</v>
      </c>
      <c r="D38" s="36" t="n">
        <v>0</v>
      </c>
      <c r="E38" s="37" t="n">
        <v>0</v>
      </c>
      <c r="F38" s="2"/>
    </row>
    <row r="39" customFormat="false" ht="15" hidden="false" customHeight="false" outlineLevel="0" collapsed="false">
      <c r="A39" s="2"/>
      <c r="B39" s="25" t="s">
        <v>204</v>
      </c>
      <c r="C39" s="29" t="n">
        <f aca="false">C31+C33+C35+C37+C38</f>
        <v>0.055404</v>
      </c>
      <c r="D39" s="30" t="n">
        <f aca="false">D31+D33+D35+D37+D38</f>
        <v>0.0983</v>
      </c>
      <c r="E39" s="31" t="n">
        <f aca="false">E31+E33+E35+E37+E38</f>
        <v>0.189866666666667</v>
      </c>
      <c r="F39" s="2"/>
    </row>
    <row r="40" customFormat="false" ht="15" hidden="false" customHeight="false" outlineLevel="0" collapsed="false">
      <c r="A40" s="2"/>
      <c r="B40" s="4" t="s">
        <v>205</v>
      </c>
      <c r="C40" s="38" t="n">
        <f aca="false">C29+C39</f>
        <v>0.6053255</v>
      </c>
      <c r="D40" s="39" t="n">
        <f aca="false">D29+D39</f>
        <v>1.198143</v>
      </c>
      <c r="E40" s="40" t="n">
        <f aca="false">E29+E39</f>
        <v>2.38955266666667</v>
      </c>
      <c r="F40" s="2"/>
    </row>
    <row r="41" customFormat="false" ht="15" hidden="false" customHeight="false" outlineLevel="0" collapsed="false">
      <c r="A41" s="2"/>
      <c r="B41" s="25" t="s">
        <v>9</v>
      </c>
      <c r="C41" s="35" t="n">
        <v>2</v>
      </c>
      <c r="D41" s="36" t="n">
        <v>3.6</v>
      </c>
      <c r="E41" s="37" t="n">
        <v>6.8</v>
      </c>
      <c r="F41" s="2"/>
    </row>
    <row r="42" customFormat="false" ht="15" hidden="false" customHeight="false" outlineLevel="0" collapsed="false">
      <c r="A42" s="2"/>
      <c r="B42" s="4" t="s">
        <v>206</v>
      </c>
      <c r="C42" s="41" t="n">
        <f aca="false">IF(C41=0,"",C40/C41)</f>
        <v>0.30266275</v>
      </c>
      <c r="D42" s="42" t="n">
        <f aca="false">IF(D41=0,"",D40/D41)</f>
        <v>0.3328175</v>
      </c>
      <c r="E42" s="43" t="n">
        <f aca="false">IF(E41=0,"",E40/E41)</f>
        <v>0.351404803921569</v>
      </c>
      <c r="F42" s="2"/>
    </row>
    <row r="43" customFormat="false" ht="15" hidden="false" customHeight="false" outlineLevel="0" collapsed="false">
      <c r="A43" s="2"/>
      <c r="B43" s="25" t="s">
        <v>11</v>
      </c>
      <c r="C43" s="35" t="n">
        <v>2.2</v>
      </c>
      <c r="D43" s="36" t="n">
        <v>4</v>
      </c>
      <c r="E43" s="37" t="n">
        <v>7.5</v>
      </c>
      <c r="F43" s="2"/>
    </row>
    <row r="44" customFormat="false" ht="15" hidden="false" customHeight="false" outlineLevel="0" collapsed="false">
      <c r="A44" s="2"/>
      <c r="B44" s="4" t="s">
        <v>207</v>
      </c>
      <c r="C44" s="41" t="n">
        <f aca="false">IF(N(C43)=0,"",C40/C43)</f>
        <v>0.275147954545455</v>
      </c>
      <c r="D44" s="42" t="n">
        <f aca="false">IF(N(D43)=0,"",D40/D43)</f>
        <v>0.29953575</v>
      </c>
      <c r="E44" s="43" t="n">
        <f aca="false">IF(N(E43)=0,"",E40/E43)</f>
        <v>0.318607022222222</v>
      </c>
      <c r="F44" s="2"/>
    </row>
    <row r="45" customFormat="false" ht="15" hidden="false" customHeight="false" outlineLevel="0" collapsed="false">
      <c r="A45" s="2"/>
      <c r="B45" s="25" t="s">
        <v>208</v>
      </c>
      <c r="C45" s="29" t="n">
        <f aca="false">C41-C40</f>
        <v>1.3946745</v>
      </c>
      <c r="D45" s="30" t="n">
        <f aca="false">D41-D40</f>
        <v>2.401857</v>
      </c>
      <c r="E45" s="31" t="n">
        <f aca="false">E41-E40</f>
        <v>4.41044733333333</v>
      </c>
      <c r="F45" s="2"/>
    </row>
    <row r="46" customFormat="false" ht="15" hidden="false" customHeight="false" outlineLevel="0" collapsed="false">
      <c r="A46" s="2"/>
      <c r="B46" s="25" t="s">
        <v>209</v>
      </c>
      <c r="C46" s="29" t="n">
        <f aca="false">IF(N(C43)=0,"",C43-C40)</f>
        <v>1.5946745</v>
      </c>
      <c r="D46" s="30" t="n">
        <f aca="false">IF(N(D43)=0,"",D43-D40)</f>
        <v>2.801857</v>
      </c>
      <c r="E46" s="31" t="n">
        <f aca="false">IF(N(E43)=0,"",E43-E40)</f>
        <v>5.11044733333333</v>
      </c>
      <c r="F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39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39</v>
      </c>
      <c r="C5" s="17" t="n">
        <v>2000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0.0022</v>
      </c>
      <c r="F5" s="20" t="n">
        <f aca="false">C5*E5</f>
        <v>4.4</v>
      </c>
    </row>
    <row r="6" customFormat="false" ht="15" hidden="false" customHeight="false" outlineLevel="0" collapsed="false">
      <c r="A6" s="2" t="n">
        <v>2</v>
      </c>
      <c r="B6" s="2" t="s">
        <v>76</v>
      </c>
      <c r="C6" s="17" t="n">
        <v>500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0.00045</v>
      </c>
      <c r="F6" s="20" t="n">
        <f aca="false">C6*E6</f>
        <v>0.225</v>
      </c>
    </row>
    <row r="7" customFormat="false" ht="15" hidden="false" customHeight="false" outlineLevel="0" collapsed="false">
      <c r="A7" s="2" t="n">
        <v>3</v>
      </c>
      <c r="B7" s="2" t="s">
        <v>79</v>
      </c>
      <c r="C7" s="17" t="n">
        <v>1000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0.00036</v>
      </c>
      <c r="F7" s="20" t="n">
        <f aca="false">C7*E7</f>
        <v>0.36</v>
      </c>
    </row>
    <row r="8" customFormat="false" ht="15" hidden="false" customHeight="false" outlineLevel="0" collapsed="false">
      <c r="A8" s="2" t="n">
        <v>4</v>
      </c>
      <c r="B8" s="2" t="s">
        <v>150</v>
      </c>
      <c r="C8" s="17" t="n">
        <v>300</v>
      </c>
      <c r="D8" s="2" t="str">
        <f aca="false">IFERROR(INDEX(LIST!$F$2:$F$131,MATCH(B8,LIST!$B$2:$B$131,0)),"")</f>
        <v>ml</v>
      </c>
      <c r="E8" s="18" t="n">
        <f aca="false">IFERROR(INDEX(LIST!$G$2:$G$131,MATCH(B8,LIST!$B$2:$B$131,0)),0)</f>
        <v>0.000594</v>
      </c>
      <c r="F8" s="20" t="n">
        <f aca="false">C8*E8</f>
        <v>0.1782</v>
      </c>
    </row>
    <row r="9" customFormat="false" ht="15" hidden="false" customHeight="false" outlineLevel="0" collapsed="false">
      <c r="A9" s="2" t="n">
        <v>5</v>
      </c>
      <c r="B9" s="2" t="s">
        <v>164</v>
      </c>
      <c r="C9" s="17" t="n">
        <v>240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0.0006</v>
      </c>
      <c r="F9" s="20" t="n">
        <f aca="false">C9*E9</f>
        <v>0.144</v>
      </c>
    </row>
    <row r="10" customFormat="false" ht="15" hidden="false" customHeight="false" outlineLevel="0" collapsed="false">
      <c r="A10" s="2" t="n">
        <v>6</v>
      </c>
      <c r="B10" s="2" t="s">
        <v>115</v>
      </c>
      <c r="C10" s="17" t="n">
        <v>15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0.000165</v>
      </c>
      <c r="F10" s="20" t="n">
        <f aca="false">C10*E10</f>
        <v>0.002475</v>
      </c>
    </row>
    <row r="11" customFormat="false" ht="15" hidden="false" customHeight="false" outlineLevel="0" collapsed="false">
      <c r="A11" s="2" t="n">
        <v>7</v>
      </c>
      <c r="B11" s="2" t="s">
        <v>139</v>
      </c>
      <c r="C11" s="17" t="n">
        <v>0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0.000836842105263158</v>
      </c>
      <c r="F11" s="20" t="n">
        <f aca="false">C11*E11</f>
        <v>0</v>
      </c>
    </row>
    <row r="12" customFormat="false" ht="15" hidden="false" customHeight="false" outlineLevel="0" collapsed="false">
      <c r="A12" s="2" t="n">
        <v>8</v>
      </c>
      <c r="B12" s="2" t="s">
        <v>85</v>
      </c>
      <c r="C12" s="17" t="n">
        <v>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0.000581</v>
      </c>
      <c r="F12" s="20" t="n">
        <f aca="false">C12*E12</f>
        <v>0</v>
      </c>
    </row>
    <row r="13" customFormat="false" ht="15" hidden="false" customHeight="false" outlineLevel="0" collapsed="false">
      <c r="A13" s="2" t="n">
        <v>9</v>
      </c>
      <c r="B13" s="2" t="s">
        <v>98</v>
      </c>
      <c r="C13" s="17" t="n">
        <v>2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0.00176</v>
      </c>
      <c r="F13" s="20" t="n">
        <f aca="false">C13*E13</f>
        <v>0.00352</v>
      </c>
    </row>
    <row r="14" customFormat="false" ht="15" hidden="false" customHeight="false" outlineLevel="0" collapsed="false">
      <c r="A14" s="2" t="n">
        <v>10</v>
      </c>
      <c r="B14" s="2" t="s">
        <v>108</v>
      </c>
      <c r="C14" s="17" t="n">
        <v>15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0.00165</v>
      </c>
      <c r="F14" s="20" t="n">
        <f aca="false">C14*E14</f>
        <v>0.02475</v>
      </c>
    </row>
    <row r="15" customFormat="false" ht="15" hidden="false" customHeight="false" outlineLevel="0" collapsed="false">
      <c r="A15" s="2" t="n">
        <v>11</v>
      </c>
      <c r="B15" s="2" t="s">
        <v>102</v>
      </c>
      <c r="C15" s="17" t="n">
        <v>15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0.002818</v>
      </c>
      <c r="F15" s="20" t="n">
        <f aca="false">C15*E15</f>
        <v>0.04227</v>
      </c>
    </row>
    <row r="16" customFormat="false" ht="15" hidden="false" customHeight="false" outlineLevel="0" collapsed="false">
      <c r="A16" s="2" t="n">
        <v>12</v>
      </c>
      <c r="B16" s="2" t="s">
        <v>99</v>
      </c>
      <c r="C16" s="17" t="n">
        <v>15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0.0018</v>
      </c>
      <c r="F16" s="20" t="n">
        <f aca="false">C16*E16</f>
        <v>0.027</v>
      </c>
    </row>
    <row r="17" customFormat="false" ht="15" hidden="false" customHeight="false" outlineLevel="0" collapsed="false">
      <c r="A17" s="2" t="n">
        <v>13</v>
      </c>
      <c r="B17" s="2" t="s">
        <v>118</v>
      </c>
      <c r="C17" s="17" t="n">
        <v>15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0.004</v>
      </c>
      <c r="F17" s="20" t="n">
        <f aca="false">C17*E17</f>
        <v>0.06</v>
      </c>
    </row>
    <row r="18" customFormat="false" ht="15" hidden="false" customHeight="false" outlineLevel="0" collapsed="false">
      <c r="A18" s="2" t="n">
        <v>14</v>
      </c>
      <c r="B18" s="2" t="s">
        <v>100</v>
      </c>
      <c r="C18" s="17" t="n">
        <v>15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0.00165</v>
      </c>
      <c r="F18" s="20" t="n">
        <f aca="false">C18*E18</f>
        <v>0.02475</v>
      </c>
    </row>
    <row r="19" customFormat="false" ht="15" hidden="false" customHeight="false" outlineLevel="0" collapsed="false">
      <c r="A19" s="2" t="n">
        <v>15</v>
      </c>
      <c r="B19" s="2" t="s">
        <v>117</v>
      </c>
      <c r="C19" s="17" t="n">
        <v>15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0.0018</v>
      </c>
      <c r="F19" s="20" t="n">
        <f aca="false">C19*E19</f>
        <v>0.027</v>
      </c>
    </row>
    <row r="20" customFormat="false" ht="15" hidden="false" customHeight="false" outlineLevel="0" collapsed="false">
      <c r="A20" s="2"/>
      <c r="B20" s="4" t="s">
        <v>191</v>
      </c>
      <c r="C20" s="2"/>
      <c r="D20" s="2"/>
      <c r="E20" s="2"/>
      <c r="F20" s="21" t="n">
        <f aca="false">SUM(F5:F19)</f>
        <v>5.518965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4" t="s">
        <v>192</v>
      </c>
      <c r="C22" s="22" t="s">
        <v>5</v>
      </c>
      <c r="D22" s="23" t="s">
        <v>6</v>
      </c>
      <c r="E22" s="24" t="s">
        <v>7</v>
      </c>
      <c r="F22" s="2"/>
    </row>
    <row r="23" customFormat="false" ht="15" hidden="false" customHeight="false" outlineLevel="0" collapsed="false">
      <c r="A23" s="2"/>
      <c r="B23" s="25" t="s">
        <v>212</v>
      </c>
      <c r="C23" s="26" t="n">
        <v>12</v>
      </c>
      <c r="D23" s="27" t="n">
        <v>6</v>
      </c>
      <c r="E23" s="28" t="n">
        <v>3</v>
      </c>
      <c r="F23" s="2"/>
    </row>
    <row r="24" customFormat="false" ht="15" hidden="false" customHeight="false" outlineLevel="0" collapsed="false">
      <c r="A24" s="2"/>
      <c r="B24" s="25" t="s">
        <v>194</v>
      </c>
      <c r="C24" s="29" t="n">
        <f aca="false">IF(C23=0,0,$F$20/C23)</f>
        <v>0.45991375</v>
      </c>
      <c r="D24" s="30" t="n">
        <f aca="false">IF(D23=0,0,$F$20/D23)</f>
        <v>0.9198275</v>
      </c>
      <c r="E24" s="31" t="n">
        <f aca="false">IF(E23=0,0,$F$20/E23)</f>
        <v>1.839655</v>
      </c>
      <c r="F24" s="2"/>
    </row>
    <row r="25" customFormat="false" ht="15" hidden="false" customHeight="false" outlineLevel="0" collapsed="false">
      <c r="A25" s="2"/>
      <c r="B25" s="25" t="s">
        <v>195</v>
      </c>
      <c r="C25" s="32" t="s">
        <v>176</v>
      </c>
      <c r="D25" s="33" t="s">
        <v>177</v>
      </c>
      <c r="E25" s="34" t="s">
        <v>178</v>
      </c>
      <c r="F25" s="2"/>
    </row>
    <row r="26" customFormat="false" ht="15" hidden="false" customHeight="false" outlineLevel="0" collapsed="false">
      <c r="A26" s="2"/>
      <c r="B26" s="25" t="s">
        <v>196</v>
      </c>
      <c r="C26" s="29" t="n">
        <f aca="false">IFERROR(INDEX(LIST!$G$2:$G$131,MATCH(C25,LIST!$B$2:$B$131,0)),0)</f>
        <v>0.021</v>
      </c>
      <c r="D26" s="30" t="n">
        <f aca="false">IFERROR(INDEX(LIST!$G$2:$G$131,MATCH(D25,LIST!$B$2:$B$131,0)),0)</f>
        <v>0.0315</v>
      </c>
      <c r="E26" s="31" t="n">
        <f aca="false">IFERROR(INDEX(LIST!$G$2:$G$131,MATCH(E25,LIST!$B$2:$B$131,0)),0)</f>
        <v>0.116666666666667</v>
      </c>
      <c r="F26" s="2"/>
    </row>
    <row r="27" customFormat="false" ht="15" hidden="false" customHeight="false" outlineLevel="0" collapsed="false">
      <c r="A27" s="2"/>
      <c r="B27" s="25" t="s">
        <v>197</v>
      </c>
      <c r="C27" s="26" t="n">
        <v>1</v>
      </c>
      <c r="D27" s="27" t="n">
        <v>2</v>
      </c>
      <c r="E27" s="28" t="n">
        <v>3</v>
      </c>
      <c r="F27" s="2"/>
    </row>
    <row r="28" customFormat="false" ht="15" hidden="false" customHeight="false" outlineLevel="0" collapsed="false">
      <c r="A28" s="2"/>
      <c r="B28" s="25" t="s">
        <v>198</v>
      </c>
      <c r="C28" s="29" t="n">
        <f aca="false">C27*IFERROR(INDEX(LIST!$G$2:$G$131,MATCH("SPOON",LIST!$B$2:$B$131,0)),0)</f>
        <v>0.0064</v>
      </c>
      <c r="D28" s="30" t="n">
        <f aca="false">D27*IFERROR(INDEX(LIST!$G$2:$G$131,MATCH("SPOON",LIST!$B$2:$B$131,0)),0)</f>
        <v>0.0128</v>
      </c>
      <c r="E28" s="31" t="n">
        <f aca="false">E27*IFERROR(INDEX(LIST!$G$2:$G$131,MATCH("SPOON",LIST!$B$2:$B$131,0)),0)</f>
        <v>0.0192</v>
      </c>
      <c r="F28" s="2"/>
    </row>
    <row r="29" customFormat="false" ht="15" hidden="false" customHeight="false" outlineLevel="0" collapsed="false">
      <c r="A29" s="2"/>
      <c r="B29" s="25" t="s">
        <v>199</v>
      </c>
      <c r="C29" s="26" t="n">
        <v>0.667</v>
      </c>
      <c r="D29" s="27" t="n">
        <v>2</v>
      </c>
      <c r="E29" s="28" t="n">
        <v>4</v>
      </c>
      <c r="F29" s="2"/>
    </row>
    <row r="30" customFormat="false" ht="15" hidden="false" customHeight="false" outlineLevel="0" collapsed="false">
      <c r="A30" s="2"/>
      <c r="B30" s="25" t="s">
        <v>200</v>
      </c>
      <c r="C30" s="29" t="n">
        <f aca="false">C29*IFERROR(INDEX(LIST!$G$2:$G$131,MATCH("Bread",LIST!$B$2:$B$131,0)),0)</f>
        <v>0.008004</v>
      </c>
      <c r="D30" s="30" t="n">
        <f aca="false">D29*IFERROR(INDEX(LIST!$G$2:$G$131,MATCH("Bread",LIST!$B$2:$B$131,0)),0)</f>
        <v>0.024</v>
      </c>
      <c r="E30" s="31" t="n">
        <f aca="false">E29*IFERROR(INDEX(LIST!$G$2:$G$131,MATCH("Bread",LIST!$B$2:$B$131,0)),0)</f>
        <v>0.048</v>
      </c>
      <c r="F30" s="2"/>
    </row>
    <row r="31" customFormat="false" ht="15" hidden="false" customHeight="false" outlineLevel="0" collapsed="false">
      <c r="A31" s="2"/>
      <c r="B31" s="25" t="s">
        <v>201</v>
      </c>
      <c r="C31" s="32" t="s">
        <v>183</v>
      </c>
      <c r="D31" s="33" t="s">
        <v>184</v>
      </c>
      <c r="E31" s="34" t="s">
        <v>185</v>
      </c>
      <c r="F31" s="2"/>
    </row>
    <row r="32" customFormat="false" ht="15" hidden="false" customHeight="false" outlineLevel="0" collapsed="false">
      <c r="A32" s="2"/>
      <c r="B32" s="25" t="s">
        <v>202</v>
      </c>
      <c r="C32" s="29" t="n">
        <f aca="false">IFERROR(INDEX(LIST!$G$2:$G$131,MATCH(C31,LIST!$B$2:$B$131,0)),0)</f>
        <v>0.02</v>
      </c>
      <c r="D32" s="30" t="n">
        <f aca="false">IFERROR(INDEX(LIST!$G$2:$G$131,MATCH(D31,LIST!$B$2:$B$131,0)),0)</f>
        <v>0.03</v>
      </c>
      <c r="E32" s="31" t="n">
        <f aca="false">IFERROR(INDEX(LIST!$G$2:$G$131,MATCH(E31,LIST!$B$2:$B$131,0)),0)</f>
        <v>0.04</v>
      </c>
      <c r="F32" s="2"/>
    </row>
    <row r="33" customFormat="false" ht="15" hidden="false" customHeight="false" outlineLevel="0" collapsed="false">
      <c r="A33" s="2"/>
      <c r="B33" s="25" t="s">
        <v>203</v>
      </c>
      <c r="C33" s="35" t="n">
        <v>0</v>
      </c>
      <c r="D33" s="36" t="n">
        <v>0</v>
      </c>
      <c r="E33" s="37" t="n">
        <v>0</v>
      </c>
      <c r="F33" s="2"/>
    </row>
    <row r="34" customFormat="false" ht="15" hidden="false" customHeight="false" outlineLevel="0" collapsed="false">
      <c r="A34" s="2"/>
      <c r="B34" s="25" t="s">
        <v>204</v>
      </c>
      <c r="C34" s="29" t="n">
        <f aca="false">C26+C28+C30+C32+C33</f>
        <v>0.055404</v>
      </c>
      <c r="D34" s="30" t="n">
        <f aca="false">D26+D28+D30+D32+D33</f>
        <v>0.0983</v>
      </c>
      <c r="E34" s="31" t="n">
        <f aca="false">E26+E28+E30+E32+E33</f>
        <v>0.223866666666667</v>
      </c>
      <c r="F34" s="2"/>
    </row>
    <row r="35" customFormat="false" ht="15" hidden="false" customHeight="false" outlineLevel="0" collapsed="false">
      <c r="A35" s="2"/>
      <c r="B35" s="4" t="s">
        <v>205</v>
      </c>
      <c r="C35" s="38" t="n">
        <f aca="false">C24+C34</f>
        <v>0.51531775</v>
      </c>
      <c r="D35" s="39" t="n">
        <f aca="false">D24+D34</f>
        <v>1.0181275</v>
      </c>
      <c r="E35" s="40" t="n">
        <f aca="false">E24+E34</f>
        <v>2.06352166666667</v>
      </c>
      <c r="F35" s="2"/>
    </row>
    <row r="36" customFormat="false" ht="15" hidden="false" customHeight="false" outlineLevel="0" collapsed="false">
      <c r="A36" s="2"/>
      <c r="B36" s="25" t="s">
        <v>9</v>
      </c>
      <c r="C36" s="35" t="n">
        <v>2.5</v>
      </c>
      <c r="D36" s="36" t="n">
        <v>3.2</v>
      </c>
      <c r="E36" s="37" t="n">
        <v>5.4</v>
      </c>
      <c r="F36" s="2"/>
    </row>
    <row r="37" customFormat="false" ht="15" hidden="false" customHeight="false" outlineLevel="0" collapsed="false">
      <c r="A37" s="2"/>
      <c r="B37" s="4" t="s">
        <v>206</v>
      </c>
      <c r="C37" s="41" t="n">
        <f aca="false">IF(C36=0,"",C35/C36)</f>
        <v>0.2061271</v>
      </c>
      <c r="D37" s="42" t="n">
        <f aca="false">IF(D36=0,"",D35/D36)</f>
        <v>0.31816484375</v>
      </c>
      <c r="E37" s="43" t="n">
        <f aca="false">IF(E36=0,"",E35/E36)</f>
        <v>0.382133641975309</v>
      </c>
      <c r="F37" s="2"/>
    </row>
    <row r="38" customFormat="false" ht="15" hidden="false" customHeight="false" outlineLevel="0" collapsed="false">
      <c r="A38" s="2"/>
      <c r="B38" s="25" t="s">
        <v>11</v>
      </c>
      <c r="C38" s="35" t="n">
        <v>2.5</v>
      </c>
      <c r="D38" s="36" t="n">
        <v>3.5</v>
      </c>
      <c r="E38" s="37" t="n">
        <v>6</v>
      </c>
      <c r="F38" s="2"/>
    </row>
    <row r="39" customFormat="false" ht="15" hidden="false" customHeight="false" outlineLevel="0" collapsed="false">
      <c r="A39" s="2"/>
      <c r="B39" s="4" t="s">
        <v>207</v>
      </c>
      <c r="C39" s="41" t="n">
        <f aca="false">IF(N(C38)=0,"",C35/C38)</f>
        <v>0.2061271</v>
      </c>
      <c r="D39" s="42" t="n">
        <f aca="false">IF(N(D38)=0,"",D35/D38)</f>
        <v>0.290893571428572</v>
      </c>
      <c r="E39" s="43" t="n">
        <f aca="false">IF(N(E38)=0,"",E35/E38)</f>
        <v>0.343920277777778</v>
      </c>
      <c r="F39" s="2"/>
    </row>
    <row r="40" customFormat="false" ht="15" hidden="false" customHeight="false" outlineLevel="0" collapsed="false">
      <c r="A40" s="2"/>
      <c r="B40" s="25" t="s">
        <v>208</v>
      </c>
      <c r="C40" s="29" t="n">
        <f aca="false">C36-C35</f>
        <v>1.98468225</v>
      </c>
      <c r="D40" s="30" t="n">
        <f aca="false">D36-D35</f>
        <v>2.1818725</v>
      </c>
      <c r="E40" s="31" t="n">
        <f aca="false">E36-E35</f>
        <v>3.33647833333333</v>
      </c>
      <c r="F40" s="2"/>
    </row>
    <row r="41" customFormat="false" ht="15" hidden="false" customHeight="false" outlineLevel="0" collapsed="false">
      <c r="A41" s="2"/>
      <c r="B41" s="25" t="s">
        <v>209</v>
      </c>
      <c r="C41" s="29" t="n">
        <f aca="false">IF(N(C38)=0,"",C38-C35)</f>
        <v>1.98468225</v>
      </c>
      <c r="D41" s="30" t="n">
        <f aca="false">IF(N(D38)=0,"",D38-D35)</f>
        <v>2.4818725</v>
      </c>
      <c r="E41" s="31" t="n">
        <f aca="false">IF(N(E38)=0,"",E38-E35)</f>
        <v>3.93647833333333</v>
      </c>
      <c r="F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40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123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0.0015</v>
      </c>
      <c r="F5" s="20" t="n">
        <f aca="false">C5*E5</f>
        <v>1.5</v>
      </c>
    </row>
    <row r="6" customFormat="false" ht="15" hidden="false" customHeight="false" outlineLevel="0" collapsed="false">
      <c r="A6" s="2" t="n">
        <v>2</v>
      </c>
      <c r="B6" s="2" t="s">
        <v>84</v>
      </c>
      <c r="C6" s="17" t="n">
        <v>150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0.00066</v>
      </c>
      <c r="F6" s="20" t="n">
        <f aca="false">C6*E6</f>
        <v>0.099</v>
      </c>
    </row>
    <row r="7" customFormat="false" ht="15" hidden="false" customHeight="false" outlineLevel="0" collapsed="false">
      <c r="A7" s="2" t="n">
        <v>3</v>
      </c>
      <c r="B7" s="2" t="s">
        <v>85</v>
      </c>
      <c r="C7" s="17" t="n">
        <v>250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0.000581</v>
      </c>
      <c r="F7" s="20" t="n">
        <f aca="false">C7*E7</f>
        <v>0.14525</v>
      </c>
    </row>
    <row r="8" customFormat="false" ht="15" hidden="false" customHeight="false" outlineLevel="0" collapsed="false">
      <c r="A8" s="2" t="n">
        <v>4</v>
      </c>
      <c r="B8" s="2" t="s">
        <v>87</v>
      </c>
      <c r="C8" s="17" t="n">
        <v>250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0.000454</v>
      </c>
      <c r="F8" s="20" t="n">
        <f aca="false">C8*E8</f>
        <v>0.1135</v>
      </c>
    </row>
    <row r="9" customFormat="false" ht="15" hidden="false" customHeight="false" outlineLevel="0" collapsed="false">
      <c r="A9" s="2" t="n">
        <v>5</v>
      </c>
      <c r="B9" s="2" t="s">
        <v>79</v>
      </c>
      <c r="C9" s="17" t="n">
        <v>500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0.00036</v>
      </c>
      <c r="F9" s="20" t="n">
        <f aca="false">C9*E9</f>
        <v>0.18</v>
      </c>
    </row>
    <row r="10" customFormat="false" ht="15" hidden="false" customHeight="false" outlineLevel="0" collapsed="false">
      <c r="A10" s="2" t="n">
        <v>6</v>
      </c>
      <c r="B10" s="2" t="s">
        <v>76</v>
      </c>
      <c r="C10" s="17" t="n">
        <v>200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0.00045</v>
      </c>
      <c r="F10" s="20" t="n">
        <f aca="false">C10*E10</f>
        <v>0.09</v>
      </c>
    </row>
    <row r="11" customFormat="false" ht="15" hidden="false" customHeight="false" outlineLevel="0" collapsed="false">
      <c r="A11" s="2" t="n">
        <v>7</v>
      </c>
      <c r="B11" s="2" t="s">
        <v>81</v>
      </c>
      <c r="C11" s="17" t="n">
        <v>400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0.0005</v>
      </c>
      <c r="F11" s="20" t="n">
        <f aca="false">C11*E11</f>
        <v>0.2</v>
      </c>
    </row>
    <row r="12" customFormat="false" ht="15" hidden="false" customHeight="false" outlineLevel="0" collapsed="false">
      <c r="A12" s="2" t="n">
        <v>8</v>
      </c>
      <c r="B12" s="2" t="s">
        <v>59</v>
      </c>
      <c r="C12" s="17" t="n">
        <v>30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0.00172727272727273</v>
      </c>
      <c r="F12" s="20" t="n">
        <f aca="false">C12*E12</f>
        <v>0.0518181818181818</v>
      </c>
    </row>
    <row r="13" customFormat="false" ht="15" hidden="false" customHeight="false" outlineLevel="0" collapsed="false">
      <c r="A13" s="2" t="n">
        <v>9</v>
      </c>
      <c r="B13" s="2" t="s">
        <v>70</v>
      </c>
      <c r="C13" s="17" t="n">
        <v>7.5</v>
      </c>
      <c r="D13" s="2" t="str">
        <f aca="false">IFERROR(INDEX(LIST!$F$2:$F$131,MATCH(B13,LIST!$B$2:$B$131,0)),"")</f>
        <v>g</v>
      </c>
      <c r="E13" s="18" t="n">
        <f aca="false">IFERROR(INDEX(LIST!$G$2:$G$131,MATCH(B13,LIST!$B$2:$B$131,0)),0)</f>
        <v>0.002</v>
      </c>
      <c r="F13" s="20" t="n">
        <f aca="false">C13*E13</f>
        <v>0.015</v>
      </c>
    </row>
    <row r="14" customFormat="false" ht="15" hidden="false" customHeight="false" outlineLevel="0" collapsed="false">
      <c r="A14" s="2" t="n">
        <v>10</v>
      </c>
      <c r="B14" s="2" t="s">
        <v>67</v>
      </c>
      <c r="C14" s="17" t="n">
        <v>7.5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0.0015</v>
      </c>
      <c r="F14" s="20" t="n">
        <f aca="false">C14*E14</f>
        <v>0.01125</v>
      </c>
    </row>
    <row r="15" customFormat="false" ht="15" hidden="false" customHeight="false" outlineLevel="0" collapsed="false">
      <c r="A15" s="2" t="n">
        <v>11</v>
      </c>
      <c r="B15" s="2" t="s">
        <v>75</v>
      </c>
      <c r="C15" s="17" t="n">
        <v>0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0.00181818181818182</v>
      </c>
      <c r="F15" s="20" t="n">
        <f aca="false">C15*E15</f>
        <v>0</v>
      </c>
    </row>
    <row r="16" customFormat="false" ht="15" hidden="false" customHeight="false" outlineLevel="0" collapsed="false">
      <c r="A16" s="2" t="n">
        <v>12</v>
      </c>
      <c r="B16" s="2" t="s">
        <v>74</v>
      </c>
      <c r="C16" s="17" t="n">
        <v>25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0.0011</v>
      </c>
      <c r="F16" s="20" t="n">
        <f aca="false">C16*E16</f>
        <v>0.0275</v>
      </c>
    </row>
    <row r="17" customFormat="false" ht="15" hidden="false" customHeight="false" outlineLevel="0" collapsed="false">
      <c r="A17" s="2" t="n">
        <v>13</v>
      </c>
      <c r="B17" s="2" t="s">
        <v>71</v>
      </c>
      <c r="C17" s="17" t="n">
        <v>5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0.0008</v>
      </c>
      <c r="F17" s="20" t="n">
        <f aca="false">C17*E17</f>
        <v>0.004</v>
      </c>
    </row>
    <row r="18" customFormat="false" ht="15" hidden="false" customHeight="false" outlineLevel="0" collapsed="false">
      <c r="A18" s="2" t="n">
        <v>14</v>
      </c>
      <c r="B18" s="2" t="s">
        <v>73</v>
      </c>
      <c r="C18" s="17" t="n">
        <v>60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0.001</v>
      </c>
      <c r="F18" s="20" t="n">
        <f aca="false">C18*E18</f>
        <v>0.06</v>
      </c>
    </row>
    <row r="19" customFormat="false" ht="15" hidden="false" customHeight="false" outlineLevel="0" collapsed="false">
      <c r="A19" s="2" t="n">
        <v>15</v>
      </c>
      <c r="B19" s="2" t="s">
        <v>60</v>
      </c>
      <c r="C19" s="17" t="n">
        <v>0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0.00195</v>
      </c>
      <c r="F19" s="20" t="n">
        <f aca="false">C19*E19</f>
        <v>0</v>
      </c>
    </row>
    <row r="20" customFormat="false" ht="15" hidden="false" customHeight="false" outlineLevel="0" collapsed="false">
      <c r="A20" s="2" t="n">
        <v>16</v>
      </c>
      <c r="B20" s="2" t="s">
        <v>164</v>
      </c>
      <c r="C20" s="17" t="n">
        <v>60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0.0006</v>
      </c>
      <c r="F20" s="20" t="n">
        <f aca="false">C20*E20</f>
        <v>0.036</v>
      </c>
    </row>
    <row r="21" customFormat="false" ht="15" hidden="false" customHeight="false" outlineLevel="0" collapsed="false">
      <c r="A21" s="2" t="n">
        <v>17</v>
      </c>
      <c r="B21" s="2" t="s">
        <v>150</v>
      </c>
      <c r="C21" s="17" t="n">
        <v>300</v>
      </c>
      <c r="D21" s="2" t="str">
        <f aca="false">IFERROR(INDEX(LIST!$F$2:$F$131,MATCH(B21,LIST!$B$2:$B$131,0)),"")</f>
        <v>ml</v>
      </c>
      <c r="E21" s="18" t="n">
        <f aca="false">IFERROR(INDEX(LIST!$G$2:$G$131,MATCH(B21,LIST!$B$2:$B$131,0)),0)</f>
        <v>0.000594</v>
      </c>
      <c r="F21" s="20" t="n">
        <f aca="false">C21*E21</f>
        <v>0.1782</v>
      </c>
    </row>
    <row r="22" customFormat="false" ht="15" hidden="false" customHeight="false" outlineLevel="0" collapsed="false">
      <c r="A22" s="2" t="n">
        <v>18</v>
      </c>
      <c r="B22" s="2" t="s">
        <v>145</v>
      </c>
      <c r="C22" s="17" t="n">
        <v>1</v>
      </c>
      <c r="D22" s="2" t="str">
        <f aca="false">IFERROR(INDEX(LIST!$F$2:$F$131,MATCH(B22,LIST!$B$2:$B$131,0)),"")</f>
        <v>pc</v>
      </c>
      <c r="E22" s="18" t="n">
        <f aca="false">IFERROR(INDEX(LIST!$G$2:$G$131,MATCH(B22,LIST!$B$2:$B$131,0)),0)</f>
        <v>0.083</v>
      </c>
      <c r="F22" s="20" t="n">
        <f aca="false">C22*E22</f>
        <v>0.083</v>
      </c>
    </row>
    <row r="23" customFormat="false" ht="15" hidden="false" customHeight="false" outlineLevel="0" collapsed="false">
      <c r="A23" s="2" t="n">
        <v>19</v>
      </c>
      <c r="B23" s="2" t="s">
        <v>117</v>
      </c>
      <c r="C23" s="17" t="n">
        <v>12</v>
      </c>
      <c r="D23" s="2" t="str">
        <f aca="false">IFERROR(INDEX(LIST!$F$2:$F$131,MATCH(B23,LIST!$B$2:$B$131,0)),"")</f>
        <v>g</v>
      </c>
      <c r="E23" s="18" t="n">
        <f aca="false">IFERROR(INDEX(LIST!$G$2:$G$131,MATCH(B23,LIST!$B$2:$B$131,0)),0)</f>
        <v>0.0018</v>
      </c>
      <c r="F23" s="20" t="n">
        <f aca="false">C23*E23</f>
        <v>0.0216</v>
      </c>
    </row>
    <row r="24" customFormat="false" ht="15" hidden="false" customHeight="false" outlineLevel="0" collapsed="false">
      <c r="A24" s="2" t="n">
        <v>20</v>
      </c>
      <c r="B24" s="2" t="s">
        <v>102</v>
      </c>
      <c r="C24" s="17" t="n">
        <v>12</v>
      </c>
      <c r="D24" s="2" t="str">
        <f aca="false">IFERROR(INDEX(LIST!$F$2:$F$131,MATCH(B24,LIST!$B$2:$B$131,0)),"")</f>
        <v>g</v>
      </c>
      <c r="E24" s="18" t="n">
        <f aca="false">IFERROR(INDEX(LIST!$G$2:$G$131,MATCH(B24,LIST!$B$2:$B$131,0)),0)</f>
        <v>0.002818</v>
      </c>
      <c r="F24" s="20" t="n">
        <f aca="false">C24*E24</f>
        <v>0.033816</v>
      </c>
    </row>
    <row r="25" customFormat="false" ht="15" hidden="false" customHeight="false" outlineLevel="0" collapsed="false">
      <c r="A25" s="2" t="n">
        <v>21</v>
      </c>
      <c r="B25" s="2" t="s">
        <v>118</v>
      </c>
      <c r="C25" s="17" t="n">
        <v>7.5</v>
      </c>
      <c r="D25" s="2" t="str">
        <f aca="false">IFERROR(INDEX(LIST!$F$2:$F$131,MATCH(B25,LIST!$B$2:$B$131,0)),"")</f>
        <v>g</v>
      </c>
      <c r="E25" s="18" t="n">
        <f aca="false">IFERROR(INDEX(LIST!$G$2:$G$131,MATCH(B25,LIST!$B$2:$B$131,0)),0)</f>
        <v>0.004</v>
      </c>
      <c r="F25" s="20" t="n">
        <f aca="false">C25*E25</f>
        <v>0.03</v>
      </c>
    </row>
    <row r="26" customFormat="false" ht="15" hidden="false" customHeight="false" outlineLevel="0" collapsed="false">
      <c r="A26" s="2" t="n">
        <v>22</v>
      </c>
      <c r="B26" s="2" t="s">
        <v>100</v>
      </c>
      <c r="C26" s="17" t="n">
        <v>0</v>
      </c>
      <c r="D26" s="2" t="str">
        <f aca="false">IFERROR(INDEX(LIST!$F$2:$F$131,MATCH(B26,LIST!$B$2:$B$131,0)),"")</f>
        <v>g</v>
      </c>
      <c r="E26" s="18" t="n">
        <f aca="false">IFERROR(INDEX(LIST!$G$2:$G$131,MATCH(B26,LIST!$B$2:$B$131,0)),0)</f>
        <v>0.00165</v>
      </c>
      <c r="F26" s="20" t="n">
        <f aca="false">C26*E26</f>
        <v>0</v>
      </c>
    </row>
    <row r="27" customFormat="false" ht="15" hidden="false" customHeight="false" outlineLevel="0" collapsed="false">
      <c r="A27" s="2" t="n">
        <v>23</v>
      </c>
      <c r="B27" s="2" t="s">
        <v>98</v>
      </c>
      <c r="C27" s="17" t="n">
        <v>0</v>
      </c>
      <c r="D27" s="2" t="str">
        <f aca="false">IFERROR(INDEX(LIST!$F$2:$F$131,MATCH(B27,LIST!$B$2:$B$131,0)),"")</f>
        <v>g</v>
      </c>
      <c r="E27" s="18" t="n">
        <f aca="false">IFERROR(INDEX(LIST!$G$2:$G$131,MATCH(B27,LIST!$B$2:$B$131,0)),0)</f>
        <v>0.00176</v>
      </c>
      <c r="F27" s="20" t="n">
        <f aca="false">C27*E27</f>
        <v>0</v>
      </c>
    </row>
    <row r="28" customFormat="false" ht="15" hidden="false" customHeight="false" outlineLevel="0" collapsed="false">
      <c r="A28" s="2" t="n">
        <v>24</v>
      </c>
      <c r="B28" s="2" t="s">
        <v>113</v>
      </c>
      <c r="C28" s="17" t="n">
        <v>0</v>
      </c>
      <c r="D28" s="2" t="str">
        <f aca="false">IFERROR(INDEX(LIST!$F$2:$F$131,MATCH(B28,LIST!$B$2:$B$131,0)),"")</f>
        <v>g</v>
      </c>
      <c r="E28" s="18" t="n">
        <f aca="false">IFERROR(INDEX(LIST!$G$2:$G$131,MATCH(B28,LIST!$B$2:$B$131,0)),0)</f>
        <v>0.001772</v>
      </c>
      <c r="F28" s="20" t="n">
        <f aca="false">C28*E28</f>
        <v>0</v>
      </c>
    </row>
    <row r="29" customFormat="false" ht="15" hidden="false" customHeight="false" outlineLevel="0" collapsed="false">
      <c r="A29" s="2" t="n">
        <v>25</v>
      </c>
      <c r="B29" s="2" t="s">
        <v>96</v>
      </c>
      <c r="C29" s="17" t="n">
        <v>5</v>
      </c>
      <c r="D29" s="2" t="str">
        <f aca="false">IFERROR(INDEX(LIST!$F$2:$F$131,MATCH(B29,LIST!$B$2:$B$131,0)),"")</f>
        <v>g</v>
      </c>
      <c r="E29" s="18" t="n">
        <f aca="false">IFERROR(INDEX(LIST!$G$2:$G$131,MATCH(B29,LIST!$B$2:$B$131,0)),0)</f>
        <v>0.002272</v>
      </c>
      <c r="F29" s="20" t="n">
        <f aca="false">C29*E29</f>
        <v>0.01136</v>
      </c>
    </row>
    <row r="30" customFormat="false" ht="15" hidden="false" customHeight="false" outlineLevel="0" collapsed="false">
      <c r="A30" s="2" t="n">
        <v>26</v>
      </c>
      <c r="B30" s="2" t="s">
        <v>108</v>
      </c>
      <c r="C30" s="17" t="n">
        <v>7.5</v>
      </c>
      <c r="D30" s="2" t="str">
        <f aca="false">IFERROR(INDEX(LIST!$F$2:$F$131,MATCH(B30,LIST!$B$2:$B$131,0)),"")</f>
        <v>g</v>
      </c>
      <c r="E30" s="18" t="n">
        <f aca="false">IFERROR(INDEX(LIST!$G$2:$G$131,MATCH(B30,LIST!$B$2:$B$131,0)),0)</f>
        <v>0.00165</v>
      </c>
      <c r="F30" s="20" t="n">
        <f aca="false">C30*E30</f>
        <v>0.012375</v>
      </c>
    </row>
    <row r="31" customFormat="false" ht="15" hidden="false" customHeight="false" outlineLevel="0" collapsed="false">
      <c r="A31" s="2" t="n">
        <v>27</v>
      </c>
      <c r="B31" s="2" t="s">
        <v>99</v>
      </c>
      <c r="C31" s="17" t="n">
        <v>7.5</v>
      </c>
      <c r="D31" s="2" t="str">
        <f aca="false">IFERROR(INDEX(LIST!$F$2:$F$131,MATCH(B31,LIST!$B$2:$B$131,0)),"")</f>
        <v>g</v>
      </c>
      <c r="E31" s="18" t="n">
        <f aca="false">IFERROR(INDEX(LIST!$G$2:$G$131,MATCH(B31,LIST!$B$2:$B$131,0)),0)</f>
        <v>0.0018</v>
      </c>
      <c r="F31" s="20" t="n">
        <f aca="false">C31*E31</f>
        <v>0.0135</v>
      </c>
    </row>
    <row r="32" customFormat="false" ht="15" hidden="false" customHeight="false" outlineLevel="0" collapsed="false">
      <c r="A32" s="2" t="n">
        <v>28</v>
      </c>
      <c r="B32" s="2" t="s">
        <v>115</v>
      </c>
      <c r="C32" s="17" t="n">
        <v>15</v>
      </c>
      <c r="D32" s="2" t="str">
        <f aca="false">IFERROR(INDEX(LIST!$F$2:$F$131,MATCH(B32,LIST!$B$2:$B$131,0)),"")</f>
        <v>g</v>
      </c>
      <c r="E32" s="18" t="n">
        <f aca="false">IFERROR(INDEX(LIST!$G$2:$G$131,MATCH(B32,LIST!$B$2:$B$131,0)),0)</f>
        <v>0.000165</v>
      </c>
      <c r="F32" s="20" t="n">
        <f aca="false">C32*E32</f>
        <v>0.002475</v>
      </c>
    </row>
    <row r="33" customFormat="false" ht="15" hidden="false" customHeight="false" outlineLevel="0" collapsed="false">
      <c r="A33" s="2"/>
      <c r="B33" s="4" t="s">
        <v>191</v>
      </c>
      <c r="C33" s="2"/>
      <c r="D33" s="2"/>
      <c r="E33" s="2"/>
      <c r="F33" s="21" t="n">
        <f aca="false">SUM(F5:F32)</f>
        <v>2.91964418181818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</row>
    <row r="35" customFormat="false" ht="15" hidden="false" customHeight="false" outlineLevel="0" collapsed="false">
      <c r="A35" s="2"/>
      <c r="B35" s="4" t="s">
        <v>192</v>
      </c>
      <c r="C35" s="22" t="s">
        <v>5</v>
      </c>
      <c r="D35" s="23" t="s">
        <v>6</v>
      </c>
      <c r="E35" s="24" t="s">
        <v>7</v>
      </c>
      <c r="F35" s="2"/>
    </row>
    <row r="36" customFormat="false" ht="15" hidden="false" customHeight="false" outlineLevel="0" collapsed="false">
      <c r="A36" s="2"/>
      <c r="B36" s="25" t="s">
        <v>212</v>
      </c>
      <c r="C36" s="26" t="n">
        <v>8</v>
      </c>
      <c r="D36" s="27" t="n">
        <v>4</v>
      </c>
      <c r="E36" s="28" t="n">
        <v>1.5</v>
      </c>
      <c r="F36" s="2"/>
    </row>
    <row r="37" customFormat="false" ht="15" hidden="false" customHeight="false" outlineLevel="0" collapsed="false">
      <c r="A37" s="2"/>
      <c r="B37" s="25" t="s">
        <v>194</v>
      </c>
      <c r="C37" s="29" t="n">
        <f aca="false">IF(C36=0,0,$F$33/C36)</f>
        <v>0.364955522727273</v>
      </c>
      <c r="D37" s="30" t="n">
        <f aca="false">IF(D36=0,0,$F$33/D36)</f>
        <v>0.729911045454545</v>
      </c>
      <c r="E37" s="31" t="n">
        <f aca="false">IF(E36=0,0,$F$33/E36)</f>
        <v>1.94642945454545</v>
      </c>
      <c r="F37" s="2"/>
    </row>
    <row r="38" customFormat="false" ht="15" hidden="false" customHeight="false" outlineLevel="0" collapsed="false">
      <c r="A38" s="2"/>
      <c r="B38" s="25" t="s">
        <v>195</v>
      </c>
      <c r="C38" s="32" t="s">
        <v>176</v>
      </c>
      <c r="D38" s="33" t="s">
        <v>177</v>
      </c>
      <c r="E38" s="34" t="s">
        <v>178</v>
      </c>
      <c r="F38" s="2"/>
    </row>
    <row r="39" customFormat="false" ht="15" hidden="false" customHeight="false" outlineLevel="0" collapsed="false">
      <c r="A39" s="2"/>
      <c r="B39" s="25" t="s">
        <v>196</v>
      </c>
      <c r="C39" s="29" t="n">
        <f aca="false">IFERROR(INDEX(LIST!$G$2:$G$131,MATCH(C38,LIST!$B$2:$B$131,0)),0)</f>
        <v>0.021</v>
      </c>
      <c r="D39" s="30" t="n">
        <f aca="false">IFERROR(INDEX(LIST!$G$2:$G$131,MATCH(D38,LIST!$B$2:$B$131,0)),0)</f>
        <v>0.0315</v>
      </c>
      <c r="E39" s="31" t="n">
        <f aca="false">IFERROR(INDEX(LIST!$G$2:$G$131,MATCH(E38,LIST!$B$2:$B$131,0)),0)</f>
        <v>0.116666666666667</v>
      </c>
      <c r="F39" s="2"/>
    </row>
    <row r="40" customFormat="false" ht="15" hidden="false" customHeight="false" outlineLevel="0" collapsed="false">
      <c r="A40" s="2"/>
      <c r="B40" s="25" t="s">
        <v>197</v>
      </c>
      <c r="C40" s="26" t="n">
        <v>1</v>
      </c>
      <c r="D40" s="27" t="n">
        <v>2</v>
      </c>
      <c r="E40" s="28" t="n">
        <v>3</v>
      </c>
      <c r="F40" s="2"/>
    </row>
    <row r="41" customFormat="false" ht="15" hidden="false" customHeight="false" outlineLevel="0" collapsed="false">
      <c r="A41" s="2"/>
      <c r="B41" s="25" t="s">
        <v>198</v>
      </c>
      <c r="C41" s="29" t="n">
        <f aca="false">C40*IFERROR(INDEX(LIST!$G$2:$G$131,MATCH("SPOON",LIST!$B$2:$B$131,0)),0)</f>
        <v>0.0064</v>
      </c>
      <c r="D41" s="30" t="n">
        <f aca="false">D40*IFERROR(INDEX(LIST!$G$2:$G$131,MATCH("SPOON",LIST!$B$2:$B$131,0)),0)</f>
        <v>0.0128</v>
      </c>
      <c r="E41" s="31" t="n">
        <f aca="false">E40*IFERROR(INDEX(LIST!$G$2:$G$131,MATCH("SPOON",LIST!$B$2:$B$131,0)),0)</f>
        <v>0.0192</v>
      </c>
      <c r="F41" s="2"/>
    </row>
    <row r="42" customFormat="false" ht="15" hidden="false" customHeight="false" outlineLevel="0" collapsed="false">
      <c r="A42" s="2"/>
      <c r="B42" s="25" t="s">
        <v>199</v>
      </c>
      <c r="C42" s="26" t="n">
        <v>1</v>
      </c>
      <c r="D42" s="27" t="n">
        <v>2</v>
      </c>
      <c r="E42" s="28" t="n">
        <v>4</v>
      </c>
      <c r="F42" s="2"/>
    </row>
    <row r="43" customFormat="false" ht="15" hidden="false" customHeight="false" outlineLevel="0" collapsed="false">
      <c r="A43" s="2"/>
      <c r="B43" s="25" t="s">
        <v>200</v>
      </c>
      <c r="C43" s="29" t="n">
        <f aca="false">C42*IFERROR(INDEX(LIST!$G$2:$G$131,MATCH("Bread",LIST!$B$2:$B$131,0)),0)</f>
        <v>0.012</v>
      </c>
      <c r="D43" s="30" t="n">
        <f aca="false">D42*IFERROR(INDEX(LIST!$G$2:$G$131,MATCH("Bread",LIST!$B$2:$B$131,0)),0)</f>
        <v>0.024</v>
      </c>
      <c r="E43" s="31" t="n">
        <f aca="false">E42*IFERROR(INDEX(LIST!$G$2:$G$131,MATCH("Bread",LIST!$B$2:$B$131,0)),0)</f>
        <v>0.048</v>
      </c>
      <c r="F43" s="2"/>
    </row>
    <row r="44" customFormat="false" ht="15" hidden="false" customHeight="false" outlineLevel="0" collapsed="false">
      <c r="A44" s="2"/>
      <c r="B44" s="25" t="s">
        <v>201</v>
      </c>
      <c r="C44" s="32" t="s">
        <v>183</v>
      </c>
      <c r="D44" s="33" t="s">
        <v>184</v>
      </c>
      <c r="E44" s="34" t="s">
        <v>185</v>
      </c>
      <c r="F44" s="2"/>
    </row>
    <row r="45" customFormat="false" ht="15" hidden="false" customHeight="false" outlineLevel="0" collapsed="false">
      <c r="A45" s="2"/>
      <c r="B45" s="25" t="s">
        <v>202</v>
      </c>
      <c r="C45" s="29" t="n">
        <f aca="false">IFERROR(INDEX(LIST!$G$2:$G$131,MATCH(C44,LIST!$B$2:$B$131,0)),0)</f>
        <v>0.02</v>
      </c>
      <c r="D45" s="30" t="n">
        <f aca="false">IFERROR(INDEX(LIST!$G$2:$G$131,MATCH(D44,LIST!$B$2:$B$131,0)),0)</f>
        <v>0.03</v>
      </c>
      <c r="E45" s="31" t="n">
        <f aca="false">IFERROR(INDEX(LIST!$G$2:$G$131,MATCH(E44,LIST!$B$2:$B$131,0)),0)</f>
        <v>0.04</v>
      </c>
      <c r="F45" s="2"/>
    </row>
    <row r="46" customFormat="false" ht="15" hidden="false" customHeight="false" outlineLevel="0" collapsed="false">
      <c r="A46" s="2"/>
      <c r="B46" s="25" t="s">
        <v>203</v>
      </c>
      <c r="C46" s="35" t="n">
        <v>0</v>
      </c>
      <c r="D46" s="36" t="n">
        <v>0</v>
      </c>
      <c r="E46" s="37" t="n">
        <v>0</v>
      </c>
      <c r="F46" s="2"/>
    </row>
    <row r="47" customFormat="false" ht="15" hidden="false" customHeight="false" outlineLevel="0" collapsed="false">
      <c r="A47" s="2"/>
      <c r="B47" s="25" t="s">
        <v>204</v>
      </c>
      <c r="C47" s="29" t="n">
        <f aca="false">C39+C41+C43+C45+C46</f>
        <v>0.0594</v>
      </c>
      <c r="D47" s="30" t="n">
        <f aca="false">D39+D41+D43+D45+D46</f>
        <v>0.0983</v>
      </c>
      <c r="E47" s="31" t="n">
        <f aca="false">E39+E41+E43+E45+E46</f>
        <v>0.223866666666667</v>
      </c>
      <c r="F47" s="2"/>
    </row>
    <row r="48" customFormat="false" ht="15" hidden="false" customHeight="false" outlineLevel="0" collapsed="false">
      <c r="A48" s="2"/>
      <c r="B48" s="4" t="s">
        <v>205</v>
      </c>
      <c r="C48" s="38" t="n">
        <f aca="false">C37+C47</f>
        <v>0.424355522727273</v>
      </c>
      <c r="D48" s="39" t="n">
        <f aca="false">D37+D47</f>
        <v>0.828211045454546</v>
      </c>
      <c r="E48" s="40" t="n">
        <f aca="false">E37+E47</f>
        <v>2.17029612121212</v>
      </c>
      <c r="F48" s="2"/>
    </row>
    <row r="49" customFormat="false" ht="15" hidden="false" customHeight="false" outlineLevel="0" collapsed="false">
      <c r="A49" s="2"/>
      <c r="B49" s="25" t="s">
        <v>9</v>
      </c>
      <c r="C49" s="35" t="n">
        <v>1.8</v>
      </c>
      <c r="D49" s="36" t="n">
        <v>3.4</v>
      </c>
      <c r="E49" s="37" t="n">
        <v>6.6</v>
      </c>
      <c r="F49" s="2"/>
    </row>
    <row r="50" customFormat="false" ht="15" hidden="false" customHeight="false" outlineLevel="0" collapsed="false">
      <c r="A50" s="2"/>
      <c r="B50" s="4" t="s">
        <v>206</v>
      </c>
      <c r="C50" s="41" t="n">
        <f aca="false">IF(C49=0,"",C48/C49)</f>
        <v>0.235753068181818</v>
      </c>
      <c r="D50" s="42" t="n">
        <f aca="false">IF(D49=0,"",D48/D49)</f>
        <v>0.243591483957219</v>
      </c>
      <c r="E50" s="43" t="n">
        <f aca="false">IF(E49=0,"",E48/E49)</f>
        <v>0.3288327456382</v>
      </c>
      <c r="F50" s="2"/>
    </row>
    <row r="51" customFormat="false" ht="15" hidden="false" customHeight="false" outlineLevel="0" collapsed="false">
      <c r="A51" s="2"/>
      <c r="B51" s="25" t="s">
        <v>11</v>
      </c>
      <c r="C51" s="35" t="n">
        <v>2.2</v>
      </c>
      <c r="D51" s="36" t="n">
        <v>4</v>
      </c>
      <c r="E51" s="37" t="n">
        <v>7.6</v>
      </c>
      <c r="F51" s="2"/>
    </row>
    <row r="52" customFormat="false" ht="15" hidden="false" customHeight="false" outlineLevel="0" collapsed="false">
      <c r="A52" s="2"/>
      <c r="B52" s="4" t="s">
        <v>207</v>
      </c>
      <c r="C52" s="41" t="n">
        <f aca="false">IF(N(C51)=0,"",C48/C51)</f>
        <v>0.192888873966942</v>
      </c>
      <c r="D52" s="42" t="n">
        <f aca="false">IF(N(D51)=0,"",D48/D51)</f>
        <v>0.207052761363636</v>
      </c>
      <c r="E52" s="43" t="n">
        <f aca="false">IF(N(E51)=0,"",E48/E51)</f>
        <v>0.285565279106858</v>
      </c>
      <c r="F52" s="2"/>
    </row>
    <row r="53" customFormat="false" ht="15" hidden="false" customHeight="false" outlineLevel="0" collapsed="false">
      <c r="A53" s="2"/>
      <c r="B53" s="25" t="s">
        <v>208</v>
      </c>
      <c r="C53" s="29" t="n">
        <f aca="false">C49-C48</f>
        <v>1.37564447727273</v>
      </c>
      <c r="D53" s="30" t="n">
        <f aca="false">D49-D48</f>
        <v>2.57178895454545</v>
      </c>
      <c r="E53" s="31" t="n">
        <f aca="false">E49-E48</f>
        <v>4.42970387878788</v>
      </c>
      <c r="F53" s="2"/>
    </row>
    <row r="54" customFormat="false" ht="15" hidden="false" customHeight="false" outlineLevel="0" collapsed="false">
      <c r="A54" s="2"/>
      <c r="B54" s="25" t="s">
        <v>209</v>
      </c>
      <c r="C54" s="29" t="n">
        <f aca="false">IF(N(C51)=0,"",C51-C48)</f>
        <v>1.77564447727273</v>
      </c>
      <c r="D54" s="30" t="n">
        <f aca="false">IF(N(D51)=0,"",D51-D48)</f>
        <v>3.17178895454545</v>
      </c>
      <c r="E54" s="31" t="n">
        <f aca="false">IF(N(E51)=0,"",E51-E48)</f>
        <v>5.42970387878788</v>
      </c>
      <c r="F5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41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39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0.0022</v>
      </c>
      <c r="F5" s="20" t="n">
        <f aca="false">C5*E5</f>
        <v>2.2</v>
      </c>
    </row>
    <row r="6" customFormat="false" ht="15" hidden="false" customHeight="false" outlineLevel="0" collapsed="false">
      <c r="A6" s="2" t="n">
        <v>2</v>
      </c>
      <c r="B6" s="2" t="s">
        <v>76</v>
      </c>
      <c r="C6" s="17" t="n">
        <v>100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0.00045</v>
      </c>
      <c r="F6" s="20" t="n">
        <f aca="false">C6*E6</f>
        <v>0.045</v>
      </c>
    </row>
    <row r="7" customFormat="false" ht="15" hidden="false" customHeight="false" outlineLevel="0" collapsed="false">
      <c r="A7" s="2" t="n">
        <v>3</v>
      </c>
      <c r="B7" s="2" t="s">
        <v>81</v>
      </c>
      <c r="C7" s="17" t="n">
        <v>400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0.0005</v>
      </c>
      <c r="F7" s="20" t="n">
        <f aca="false">C7*E7</f>
        <v>0.2</v>
      </c>
    </row>
    <row r="8" customFormat="false" ht="15" hidden="false" customHeight="false" outlineLevel="0" collapsed="false">
      <c r="A8" s="2" t="n">
        <v>4</v>
      </c>
      <c r="B8" s="2" t="s">
        <v>79</v>
      </c>
      <c r="C8" s="17" t="n">
        <v>200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0.00036</v>
      </c>
      <c r="F8" s="20" t="n">
        <f aca="false">C8*E8</f>
        <v>0.072</v>
      </c>
    </row>
    <row r="9" customFormat="false" ht="15" hidden="false" customHeight="false" outlineLevel="0" collapsed="false">
      <c r="A9" s="2" t="n">
        <v>5</v>
      </c>
      <c r="B9" s="2" t="s">
        <v>68</v>
      </c>
      <c r="C9" s="17" t="n">
        <v>100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0.00065</v>
      </c>
      <c r="F9" s="20" t="n">
        <f aca="false">C9*E9</f>
        <v>0.065</v>
      </c>
    </row>
    <row r="10" customFormat="false" ht="15" hidden="false" customHeight="false" outlineLevel="0" collapsed="false">
      <c r="A10" s="2" t="n">
        <v>6</v>
      </c>
      <c r="B10" s="2" t="s">
        <v>61</v>
      </c>
      <c r="C10" s="17" t="n">
        <v>200</v>
      </c>
      <c r="D10" s="2" t="str">
        <f aca="false">IFERROR(INDEX(LIST!$F$2:$F$131,MATCH(B10,LIST!$B$2:$B$131,0)),"")</f>
        <v>g</v>
      </c>
      <c r="E10" s="18" t="n">
        <f aca="false">IFERROR(INDEX(LIST!$G$2:$G$131,MATCH(B10,LIST!$B$2:$B$131,0)),0)</f>
        <v>0.0004</v>
      </c>
      <c r="F10" s="20" t="n">
        <f aca="false">C10*E10</f>
        <v>0.08</v>
      </c>
    </row>
    <row r="11" customFormat="false" ht="15" hidden="false" customHeight="false" outlineLevel="0" collapsed="false">
      <c r="A11" s="2" t="n">
        <v>7</v>
      </c>
      <c r="B11" s="2" t="s">
        <v>74</v>
      </c>
      <c r="C11" s="17" t="n">
        <v>4.5</v>
      </c>
      <c r="D11" s="2" t="str">
        <f aca="false">IFERROR(INDEX(LIST!$F$2:$F$131,MATCH(B11,LIST!$B$2:$B$131,0)),"")</f>
        <v>g</v>
      </c>
      <c r="E11" s="18" t="n">
        <f aca="false">IFERROR(INDEX(LIST!$G$2:$G$131,MATCH(B11,LIST!$B$2:$B$131,0)),0)</f>
        <v>0.0011</v>
      </c>
      <c r="F11" s="20" t="n">
        <f aca="false">C11*E11</f>
        <v>0.00495</v>
      </c>
    </row>
    <row r="12" customFormat="false" ht="15" hidden="false" customHeight="false" outlineLevel="0" collapsed="false">
      <c r="A12" s="2" t="n">
        <v>8</v>
      </c>
      <c r="B12" s="2" t="s">
        <v>69</v>
      </c>
      <c r="C12" s="17" t="n">
        <v>9</v>
      </c>
      <c r="D12" s="2" t="str">
        <f aca="false">IFERROR(INDEX(LIST!$F$2:$F$131,MATCH(B12,LIST!$B$2:$B$131,0)),"")</f>
        <v>g</v>
      </c>
      <c r="E12" s="18" t="n">
        <f aca="false">IFERROR(INDEX(LIST!$G$2:$G$131,MATCH(B12,LIST!$B$2:$B$131,0)),0)</f>
        <v>0.0012</v>
      </c>
      <c r="F12" s="20" t="n">
        <f aca="false">C12*E12</f>
        <v>0.0108</v>
      </c>
    </row>
    <row r="13" customFormat="false" ht="15" hidden="false" customHeight="false" outlineLevel="0" collapsed="false">
      <c r="A13" s="2" t="n">
        <v>9</v>
      </c>
      <c r="B13" s="2" t="s">
        <v>150</v>
      </c>
      <c r="C13" s="17" t="n">
        <v>70</v>
      </c>
      <c r="D13" s="2" t="str">
        <f aca="false">IFERROR(INDEX(LIST!$F$2:$F$131,MATCH(B13,LIST!$B$2:$B$131,0)),"")</f>
        <v>ml</v>
      </c>
      <c r="E13" s="18" t="n">
        <f aca="false">IFERROR(INDEX(LIST!$G$2:$G$131,MATCH(B13,LIST!$B$2:$B$131,0)),0)</f>
        <v>0.000594</v>
      </c>
      <c r="F13" s="20" t="n">
        <f aca="false">C13*E13</f>
        <v>0.04158</v>
      </c>
    </row>
    <row r="14" customFormat="false" ht="15" hidden="false" customHeight="false" outlineLevel="0" collapsed="false">
      <c r="A14" s="2" t="n">
        <v>10</v>
      </c>
      <c r="B14" s="2" t="s">
        <v>164</v>
      </c>
      <c r="C14" s="17" t="n">
        <v>48</v>
      </c>
      <c r="D14" s="2" t="str">
        <f aca="false">IFERROR(INDEX(LIST!$F$2:$F$131,MATCH(B14,LIST!$B$2:$B$131,0)),"")</f>
        <v>g</v>
      </c>
      <c r="E14" s="18" t="n">
        <f aca="false">IFERROR(INDEX(LIST!$G$2:$G$131,MATCH(B14,LIST!$B$2:$B$131,0)),0)</f>
        <v>0.0006</v>
      </c>
      <c r="F14" s="20" t="n">
        <f aca="false">C14*E14</f>
        <v>0.0288</v>
      </c>
    </row>
    <row r="15" customFormat="false" ht="15" hidden="false" customHeight="false" outlineLevel="0" collapsed="false">
      <c r="A15" s="2" t="n">
        <v>11</v>
      </c>
      <c r="B15" s="2" t="s">
        <v>115</v>
      </c>
      <c r="C15" s="17" t="n">
        <v>6</v>
      </c>
      <c r="D15" s="2" t="str">
        <f aca="false">IFERROR(INDEX(LIST!$F$2:$F$131,MATCH(B15,LIST!$B$2:$B$131,0)),"")</f>
        <v>g</v>
      </c>
      <c r="E15" s="18" t="n">
        <f aca="false">IFERROR(INDEX(LIST!$G$2:$G$131,MATCH(B15,LIST!$B$2:$B$131,0)),0)</f>
        <v>0.000165</v>
      </c>
      <c r="F15" s="20" t="n">
        <f aca="false">C15*E15</f>
        <v>0.00099</v>
      </c>
    </row>
    <row r="16" customFormat="false" ht="15" hidden="false" customHeight="false" outlineLevel="0" collapsed="false">
      <c r="A16" s="2" t="n">
        <v>12</v>
      </c>
      <c r="B16" s="2" t="s">
        <v>170</v>
      </c>
      <c r="C16" s="17" t="n">
        <v>200</v>
      </c>
      <c r="D16" s="2" t="str">
        <f aca="false">IFERROR(INDEX(LIST!$F$2:$F$131,MATCH(B16,LIST!$B$2:$B$131,0)),"")</f>
        <v>g</v>
      </c>
      <c r="E16" s="18" t="n">
        <f aca="false">IFERROR(INDEX(LIST!$G$2:$G$131,MATCH(B16,LIST!$B$2:$B$131,0)),0)</f>
        <v>0.00108</v>
      </c>
      <c r="F16" s="20" t="n">
        <f aca="false">C16*E16</f>
        <v>0.216</v>
      </c>
    </row>
    <row r="17" customFormat="false" ht="15" hidden="false" customHeight="false" outlineLevel="0" collapsed="false">
      <c r="A17" s="2" t="n">
        <v>13</v>
      </c>
      <c r="B17" s="2" t="s">
        <v>60</v>
      </c>
      <c r="C17" s="17" t="n">
        <v>0.2</v>
      </c>
      <c r="D17" s="2" t="str">
        <f aca="false">IFERROR(INDEX(LIST!$F$2:$F$131,MATCH(B17,LIST!$B$2:$B$131,0)),"")</f>
        <v>g</v>
      </c>
      <c r="E17" s="18" t="n">
        <f aca="false">IFERROR(INDEX(LIST!$G$2:$G$131,MATCH(B17,LIST!$B$2:$B$131,0)),0)</f>
        <v>0.00195</v>
      </c>
      <c r="F17" s="20" t="n">
        <f aca="false">C17*E17</f>
        <v>0.00039</v>
      </c>
    </row>
    <row r="18" customFormat="false" ht="15" hidden="false" customHeight="false" outlineLevel="0" collapsed="false">
      <c r="A18" s="2" t="n">
        <v>14</v>
      </c>
      <c r="B18" s="2" t="s">
        <v>117</v>
      </c>
      <c r="C18" s="17" t="n">
        <v>6</v>
      </c>
      <c r="D18" s="2" t="str">
        <f aca="false">IFERROR(INDEX(LIST!$F$2:$F$131,MATCH(B18,LIST!$B$2:$B$131,0)),"")</f>
        <v>g</v>
      </c>
      <c r="E18" s="18" t="n">
        <f aca="false">IFERROR(INDEX(LIST!$G$2:$G$131,MATCH(B18,LIST!$B$2:$B$131,0)),0)</f>
        <v>0.0018</v>
      </c>
      <c r="F18" s="20" t="n">
        <f aca="false">C18*E18</f>
        <v>0.0108</v>
      </c>
    </row>
    <row r="19" customFormat="false" ht="15" hidden="false" customHeight="false" outlineLevel="0" collapsed="false">
      <c r="A19" s="2" t="n">
        <v>15</v>
      </c>
      <c r="B19" s="2" t="s">
        <v>99</v>
      </c>
      <c r="C19" s="17" t="n">
        <v>4</v>
      </c>
      <c r="D19" s="2" t="str">
        <f aca="false">IFERROR(INDEX(LIST!$F$2:$F$131,MATCH(B19,LIST!$B$2:$B$131,0)),"")</f>
        <v>g</v>
      </c>
      <c r="E19" s="18" t="n">
        <f aca="false">IFERROR(INDEX(LIST!$G$2:$G$131,MATCH(B19,LIST!$B$2:$B$131,0)),0)</f>
        <v>0.0018</v>
      </c>
      <c r="F19" s="20" t="n">
        <f aca="false">C19*E19</f>
        <v>0.0072</v>
      </c>
    </row>
    <row r="20" customFormat="false" ht="15" hidden="false" customHeight="false" outlineLevel="0" collapsed="false">
      <c r="A20" s="2" t="n">
        <v>16</v>
      </c>
      <c r="B20" s="2" t="s">
        <v>102</v>
      </c>
      <c r="C20" s="17" t="n">
        <v>3</v>
      </c>
      <c r="D20" s="2" t="str">
        <f aca="false">IFERROR(INDEX(LIST!$F$2:$F$131,MATCH(B20,LIST!$B$2:$B$131,0)),"")</f>
        <v>g</v>
      </c>
      <c r="E20" s="18" t="n">
        <f aca="false">IFERROR(INDEX(LIST!$G$2:$G$131,MATCH(B20,LIST!$B$2:$B$131,0)),0)</f>
        <v>0.002818</v>
      </c>
      <c r="F20" s="20" t="n">
        <f aca="false">C20*E20</f>
        <v>0.008454</v>
      </c>
    </row>
    <row r="21" customFormat="false" ht="15" hidden="false" customHeight="false" outlineLevel="0" collapsed="false">
      <c r="A21" s="2" t="n">
        <v>17</v>
      </c>
      <c r="B21" s="2" t="s">
        <v>108</v>
      </c>
      <c r="C21" s="17" t="n">
        <v>3</v>
      </c>
      <c r="D21" s="2" t="str">
        <f aca="false">IFERROR(INDEX(LIST!$F$2:$F$131,MATCH(B21,LIST!$B$2:$B$131,0)),"")</f>
        <v>g</v>
      </c>
      <c r="E21" s="18" t="n">
        <f aca="false">IFERROR(INDEX(LIST!$G$2:$G$131,MATCH(B21,LIST!$B$2:$B$131,0)),0)</f>
        <v>0.00165</v>
      </c>
      <c r="F21" s="20" t="n">
        <f aca="false">C21*E21</f>
        <v>0.00495</v>
      </c>
    </row>
    <row r="22" customFormat="false" ht="15" hidden="false" customHeight="false" outlineLevel="0" collapsed="false">
      <c r="A22" s="2" t="n">
        <v>18</v>
      </c>
      <c r="B22" s="2" t="s">
        <v>118</v>
      </c>
      <c r="C22" s="17" t="n">
        <v>3</v>
      </c>
      <c r="D22" s="2" t="str">
        <f aca="false">IFERROR(INDEX(LIST!$F$2:$F$131,MATCH(B22,LIST!$B$2:$B$131,0)),"")</f>
        <v>g</v>
      </c>
      <c r="E22" s="18" t="n">
        <f aca="false">IFERROR(INDEX(LIST!$G$2:$G$131,MATCH(B22,LIST!$B$2:$B$131,0)),0)</f>
        <v>0.004</v>
      </c>
      <c r="F22" s="20" t="n">
        <f aca="false">C22*E22</f>
        <v>0.012</v>
      </c>
    </row>
    <row r="23" customFormat="false" ht="15" hidden="false" customHeight="false" outlineLevel="0" collapsed="false">
      <c r="A23" s="2" t="n">
        <v>19</v>
      </c>
      <c r="B23" s="2" t="s">
        <v>100</v>
      </c>
      <c r="C23" s="17" t="n">
        <v>3</v>
      </c>
      <c r="D23" s="2" t="str">
        <f aca="false">IFERROR(INDEX(LIST!$F$2:$F$131,MATCH(B23,LIST!$B$2:$B$131,0)),"")</f>
        <v>g</v>
      </c>
      <c r="E23" s="18" t="n">
        <f aca="false">IFERROR(INDEX(LIST!$G$2:$G$131,MATCH(B23,LIST!$B$2:$B$131,0)),0)</f>
        <v>0.00165</v>
      </c>
      <c r="F23" s="20" t="n">
        <f aca="false">C23*E23</f>
        <v>0.00495</v>
      </c>
    </row>
    <row r="24" customFormat="false" ht="15" hidden="false" customHeight="false" outlineLevel="0" collapsed="false">
      <c r="A24" s="2" t="n">
        <v>20</v>
      </c>
      <c r="B24" s="2" t="s">
        <v>113</v>
      </c>
      <c r="C24" s="17" t="n">
        <v>2</v>
      </c>
      <c r="D24" s="2" t="str">
        <f aca="false">IFERROR(INDEX(LIST!$F$2:$F$131,MATCH(B24,LIST!$B$2:$B$131,0)),"")</f>
        <v>g</v>
      </c>
      <c r="E24" s="18" t="n">
        <f aca="false">IFERROR(INDEX(LIST!$G$2:$G$131,MATCH(B24,LIST!$B$2:$B$131,0)),0)</f>
        <v>0.001772</v>
      </c>
      <c r="F24" s="20" t="n">
        <f aca="false">C24*E24</f>
        <v>0.003544</v>
      </c>
    </row>
    <row r="25" customFormat="false" ht="15" hidden="false" customHeight="false" outlineLevel="0" collapsed="false">
      <c r="A25" s="2" t="n">
        <v>21</v>
      </c>
      <c r="B25" s="2" t="s">
        <v>104</v>
      </c>
      <c r="C25" s="17" t="n">
        <v>5</v>
      </c>
      <c r="D25" s="2" t="str">
        <f aca="false">IFERROR(INDEX(LIST!$F$2:$F$131,MATCH(B25,LIST!$B$2:$B$131,0)),"")</f>
        <v>g</v>
      </c>
      <c r="E25" s="18" t="n">
        <f aca="false">IFERROR(INDEX(LIST!$G$2:$G$131,MATCH(B25,LIST!$B$2:$B$131,0)),0)</f>
        <v>0.0023636</v>
      </c>
      <c r="F25" s="20" t="n">
        <f aca="false">C25*E25</f>
        <v>0.011818</v>
      </c>
    </row>
    <row r="26" customFormat="false" ht="15" hidden="false" customHeight="false" outlineLevel="0" collapsed="false">
      <c r="A26" s="2" t="n">
        <v>22</v>
      </c>
      <c r="B26" s="2" t="s">
        <v>98</v>
      </c>
      <c r="C26" s="17" t="n">
        <v>5</v>
      </c>
      <c r="D26" s="2" t="str">
        <f aca="false">IFERROR(INDEX(LIST!$F$2:$F$131,MATCH(B26,LIST!$B$2:$B$131,0)),"")</f>
        <v>g</v>
      </c>
      <c r="E26" s="18" t="n">
        <f aca="false">IFERROR(INDEX(LIST!$G$2:$G$131,MATCH(B26,LIST!$B$2:$B$131,0)),0)</f>
        <v>0.00176</v>
      </c>
      <c r="F26" s="20" t="n">
        <f aca="false">C26*E26</f>
        <v>0.0088</v>
      </c>
    </row>
    <row r="27" customFormat="false" ht="15" hidden="false" customHeight="false" outlineLevel="0" collapsed="false">
      <c r="A27" s="2"/>
      <c r="B27" s="4" t="s">
        <v>191</v>
      </c>
      <c r="C27" s="2"/>
      <c r="D27" s="2"/>
      <c r="E27" s="2"/>
      <c r="F27" s="21" t="n">
        <f aca="false">SUM(F5:F26)</f>
        <v>3.038026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</row>
    <row r="29" customFormat="false" ht="15" hidden="false" customHeight="false" outlineLevel="0" collapsed="false">
      <c r="A29" s="2"/>
      <c r="B29" s="4" t="s">
        <v>192</v>
      </c>
      <c r="C29" s="22" t="s">
        <v>5</v>
      </c>
      <c r="D29" s="23" t="s">
        <v>6</v>
      </c>
      <c r="E29" s="24" t="s">
        <v>7</v>
      </c>
      <c r="F29" s="2"/>
    </row>
    <row r="30" customFormat="false" ht="15" hidden="false" customHeight="false" outlineLevel="0" collapsed="false">
      <c r="A30" s="2"/>
      <c r="B30" s="25" t="s">
        <v>212</v>
      </c>
      <c r="C30" s="26" t="n">
        <v>6</v>
      </c>
      <c r="D30" s="27" t="n">
        <v>3</v>
      </c>
      <c r="E30" s="28" t="n">
        <v>1.5</v>
      </c>
      <c r="F30" s="2"/>
    </row>
    <row r="31" customFormat="false" ht="15" hidden="false" customHeight="false" outlineLevel="0" collapsed="false">
      <c r="A31" s="2"/>
      <c r="B31" s="25" t="s">
        <v>194</v>
      </c>
      <c r="C31" s="29" t="n">
        <f aca="false">IF(C30=0,0,$F$27/C30)</f>
        <v>0.506337666666667</v>
      </c>
      <c r="D31" s="30" t="n">
        <f aca="false">IF(D30=0,0,$F$27/D30)</f>
        <v>1.01267533333333</v>
      </c>
      <c r="E31" s="31" t="n">
        <f aca="false">IF(E30=0,0,$F$27/E30)</f>
        <v>2.02535066666667</v>
      </c>
      <c r="F31" s="2"/>
    </row>
    <row r="32" customFormat="false" ht="15" hidden="false" customHeight="false" outlineLevel="0" collapsed="false">
      <c r="A32" s="2"/>
      <c r="B32" s="25" t="s">
        <v>195</v>
      </c>
      <c r="C32" s="32" t="s">
        <v>176</v>
      </c>
      <c r="D32" s="33" t="s">
        <v>177</v>
      </c>
      <c r="E32" s="34" t="s">
        <v>178</v>
      </c>
      <c r="F32" s="2"/>
    </row>
    <row r="33" customFormat="false" ht="15" hidden="false" customHeight="false" outlineLevel="0" collapsed="false">
      <c r="A33" s="2"/>
      <c r="B33" s="25" t="s">
        <v>196</v>
      </c>
      <c r="C33" s="29" t="n">
        <f aca="false">IFERROR(INDEX(LIST!$G$2:$G$131,MATCH(C32,LIST!$B$2:$B$131,0)),0)</f>
        <v>0.021</v>
      </c>
      <c r="D33" s="30" t="n">
        <f aca="false">IFERROR(INDEX(LIST!$G$2:$G$131,MATCH(D32,LIST!$B$2:$B$131,0)),0)</f>
        <v>0.0315</v>
      </c>
      <c r="E33" s="31" t="n">
        <f aca="false">IFERROR(INDEX(LIST!$G$2:$G$131,MATCH(E32,LIST!$B$2:$B$131,0)),0)</f>
        <v>0.116666666666667</v>
      </c>
      <c r="F33" s="2"/>
    </row>
    <row r="34" customFormat="false" ht="15" hidden="false" customHeight="false" outlineLevel="0" collapsed="false">
      <c r="A34" s="2"/>
      <c r="B34" s="25" t="s">
        <v>197</v>
      </c>
      <c r="C34" s="26" t="n">
        <v>1.45</v>
      </c>
      <c r="D34" s="27" t="n">
        <v>2.9</v>
      </c>
      <c r="E34" s="28" t="n">
        <v>6</v>
      </c>
      <c r="F34" s="2"/>
    </row>
    <row r="35" customFormat="false" ht="15" hidden="false" customHeight="false" outlineLevel="0" collapsed="false">
      <c r="A35" s="2"/>
      <c r="B35" s="25" t="s">
        <v>198</v>
      </c>
      <c r="C35" s="29" t="n">
        <f aca="false">C34*IFERROR(INDEX(LIST!$G$2:$G$131,MATCH("SPOON",LIST!$B$2:$B$131,0)),0)</f>
        <v>0.00928</v>
      </c>
      <c r="D35" s="30" t="n">
        <f aca="false">D34*IFERROR(INDEX(LIST!$G$2:$G$131,MATCH("SPOON",LIST!$B$2:$B$131,0)),0)</f>
        <v>0.01856</v>
      </c>
      <c r="E35" s="31" t="n">
        <f aca="false">E34*IFERROR(INDEX(LIST!$G$2:$G$131,MATCH("SPOON",LIST!$B$2:$B$131,0)),0)</f>
        <v>0.0384</v>
      </c>
      <c r="F35" s="2"/>
    </row>
    <row r="36" customFormat="false" ht="15" hidden="false" customHeight="false" outlineLevel="0" collapsed="false">
      <c r="A36" s="2"/>
      <c r="B36" s="25" t="s">
        <v>199</v>
      </c>
      <c r="C36" s="26" t="n">
        <v>0.967</v>
      </c>
      <c r="D36" s="27" t="n">
        <v>2</v>
      </c>
      <c r="E36" s="28" t="n">
        <v>4</v>
      </c>
      <c r="F36" s="2"/>
    </row>
    <row r="37" customFormat="false" ht="15" hidden="false" customHeight="false" outlineLevel="0" collapsed="false">
      <c r="A37" s="2"/>
      <c r="B37" s="25" t="s">
        <v>200</v>
      </c>
      <c r="C37" s="29" t="n">
        <f aca="false">C36*IFERROR(INDEX(LIST!$G$2:$G$131,MATCH("Bread",LIST!$B$2:$B$131,0)),0)</f>
        <v>0.011604</v>
      </c>
      <c r="D37" s="30" t="n">
        <f aca="false">D36*IFERROR(INDEX(LIST!$G$2:$G$131,MATCH("Bread",LIST!$B$2:$B$131,0)),0)</f>
        <v>0.024</v>
      </c>
      <c r="E37" s="31" t="n">
        <f aca="false">E36*IFERROR(INDEX(LIST!$G$2:$G$131,MATCH("Bread",LIST!$B$2:$B$131,0)),0)</f>
        <v>0.048</v>
      </c>
      <c r="F37" s="2"/>
    </row>
    <row r="38" customFormat="false" ht="15" hidden="false" customHeight="false" outlineLevel="0" collapsed="false">
      <c r="A38" s="2"/>
      <c r="B38" s="25" t="s">
        <v>201</v>
      </c>
      <c r="C38" s="32" t="s">
        <v>183</v>
      </c>
      <c r="D38" s="33" t="s">
        <v>184</v>
      </c>
      <c r="E38" s="34" t="s">
        <v>185</v>
      </c>
      <c r="F38" s="2"/>
    </row>
    <row r="39" customFormat="false" ht="15" hidden="false" customHeight="false" outlineLevel="0" collapsed="false">
      <c r="A39" s="2"/>
      <c r="B39" s="25" t="s">
        <v>202</v>
      </c>
      <c r="C39" s="29" t="n">
        <f aca="false">IFERROR(INDEX(LIST!$G$2:$G$131,MATCH(C38,LIST!$B$2:$B$131,0)),0)</f>
        <v>0.02</v>
      </c>
      <c r="D39" s="30" t="n">
        <f aca="false">IFERROR(INDEX(LIST!$G$2:$G$131,MATCH(D38,LIST!$B$2:$B$131,0)),0)</f>
        <v>0.03</v>
      </c>
      <c r="E39" s="31" t="n">
        <f aca="false">IFERROR(INDEX(LIST!$G$2:$G$131,MATCH(E38,LIST!$B$2:$B$131,0)),0)</f>
        <v>0.04</v>
      </c>
      <c r="F39" s="2"/>
    </row>
    <row r="40" customFormat="false" ht="15" hidden="false" customHeight="false" outlineLevel="0" collapsed="false">
      <c r="A40" s="2"/>
      <c r="B40" s="25" t="s">
        <v>203</v>
      </c>
      <c r="C40" s="35" t="n">
        <v>0</v>
      </c>
      <c r="D40" s="36" t="n">
        <v>0</v>
      </c>
      <c r="E40" s="37" t="n">
        <v>0</v>
      </c>
      <c r="F40" s="2"/>
    </row>
    <row r="41" customFormat="false" ht="15" hidden="false" customHeight="false" outlineLevel="0" collapsed="false">
      <c r="A41" s="2"/>
      <c r="B41" s="25" t="s">
        <v>204</v>
      </c>
      <c r="C41" s="29" t="n">
        <f aca="false">C33+C35+C37+C39+C40</f>
        <v>0.061884</v>
      </c>
      <c r="D41" s="30" t="n">
        <f aca="false">D33+D35+D37+D39+D40</f>
        <v>0.10406</v>
      </c>
      <c r="E41" s="31" t="n">
        <f aca="false">E33+E35+E37+E39+E40</f>
        <v>0.243066666666667</v>
      </c>
      <c r="F41" s="2"/>
    </row>
    <row r="42" customFormat="false" ht="15" hidden="false" customHeight="false" outlineLevel="0" collapsed="false">
      <c r="A42" s="2"/>
      <c r="B42" s="4" t="s">
        <v>205</v>
      </c>
      <c r="C42" s="38" t="n">
        <f aca="false">C31+C41</f>
        <v>0.568221666666667</v>
      </c>
      <c r="D42" s="39" t="n">
        <f aca="false">D31+D41</f>
        <v>1.11673533333333</v>
      </c>
      <c r="E42" s="40" t="n">
        <f aca="false">E31+E41</f>
        <v>2.26841733333333</v>
      </c>
      <c r="F42" s="2"/>
    </row>
    <row r="43" customFormat="false" ht="15" hidden="false" customHeight="false" outlineLevel="0" collapsed="false">
      <c r="A43" s="2"/>
      <c r="B43" s="25" t="s">
        <v>9</v>
      </c>
      <c r="C43" s="35" t="n">
        <v>2</v>
      </c>
      <c r="D43" s="36" t="n">
        <v>3.8</v>
      </c>
      <c r="E43" s="37" t="n">
        <v>7</v>
      </c>
      <c r="F43" s="2"/>
    </row>
    <row r="44" customFormat="false" ht="15" hidden="false" customHeight="false" outlineLevel="0" collapsed="false">
      <c r="A44" s="2"/>
      <c r="B44" s="4" t="s">
        <v>206</v>
      </c>
      <c r="C44" s="41" t="n">
        <f aca="false">IF(C43=0,"",C42/C43)</f>
        <v>0.284110833333333</v>
      </c>
      <c r="D44" s="42" t="n">
        <f aca="false">IF(D43=0,"",D42/D43)</f>
        <v>0.293877719298246</v>
      </c>
      <c r="E44" s="43" t="n">
        <f aca="false">IF(E43=0,"",E42/E43)</f>
        <v>0.324059619047619</v>
      </c>
      <c r="F44" s="2"/>
    </row>
    <row r="45" customFormat="false" ht="15" hidden="false" customHeight="false" outlineLevel="0" collapsed="false">
      <c r="A45" s="2"/>
      <c r="B45" s="25" t="s">
        <v>11</v>
      </c>
      <c r="C45" s="35" t="n">
        <v>1.5</v>
      </c>
      <c r="D45" s="36" t="n">
        <v>2.8</v>
      </c>
      <c r="E45" s="37" t="n">
        <v>5.4</v>
      </c>
      <c r="F45" s="2"/>
    </row>
    <row r="46" customFormat="false" ht="15" hidden="false" customHeight="false" outlineLevel="0" collapsed="false">
      <c r="A46" s="2"/>
      <c r="B46" s="4" t="s">
        <v>207</v>
      </c>
      <c r="C46" s="41" t="n">
        <f aca="false">IF(N(C45)=0,"",C42/C45)</f>
        <v>0.378814444444444</v>
      </c>
      <c r="D46" s="42" t="n">
        <f aca="false">IF(N(D45)=0,"",D42/D45)</f>
        <v>0.398834047619048</v>
      </c>
      <c r="E46" s="43" t="n">
        <f aca="false">IF(N(E45)=0,"",E42/E45)</f>
        <v>0.420077283950617</v>
      </c>
      <c r="F46" s="2"/>
    </row>
    <row r="47" customFormat="false" ht="15" hidden="false" customHeight="false" outlineLevel="0" collapsed="false">
      <c r="A47" s="2"/>
      <c r="B47" s="25" t="s">
        <v>208</v>
      </c>
      <c r="C47" s="29" t="n">
        <f aca="false">C43-C42</f>
        <v>1.43177833333333</v>
      </c>
      <c r="D47" s="30" t="n">
        <f aca="false">D43-D42</f>
        <v>2.68326466666667</v>
      </c>
      <c r="E47" s="31" t="n">
        <f aca="false">E43-E42</f>
        <v>4.73158266666667</v>
      </c>
      <c r="F47" s="2"/>
    </row>
    <row r="48" customFormat="false" ht="15" hidden="false" customHeight="false" outlineLevel="0" collapsed="false">
      <c r="A48" s="2"/>
      <c r="B48" s="25" t="s">
        <v>209</v>
      </c>
      <c r="C48" s="29" t="n">
        <f aca="false">IF(N(C45)=0,"",C45-C42)</f>
        <v>0.931778333333333</v>
      </c>
      <c r="D48" s="30" t="n">
        <f aca="false">IF(N(D45)=0,"",D45-D42)</f>
        <v>1.68326466666667</v>
      </c>
      <c r="E48" s="31" t="n">
        <f aca="false">IF(N(E45)=0,"",E45-E42)</f>
        <v>3.13158266666667</v>
      </c>
      <c r="F4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42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135</v>
      </c>
      <c r="C5" s="17" t="n">
        <v>400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0.0001</v>
      </c>
      <c r="F5" s="20" t="n">
        <f aca="false">C5*E5</f>
        <v>0.04</v>
      </c>
    </row>
    <row r="6" customFormat="false" ht="15" hidden="false" customHeight="false" outlineLevel="0" collapsed="false">
      <c r="A6" s="2" t="n">
        <v>2</v>
      </c>
      <c r="B6" s="2" t="s">
        <v>147</v>
      </c>
      <c r="C6" s="17" t="n">
        <v>30</v>
      </c>
      <c r="D6" s="2" t="str">
        <f aca="false">IFERROR(INDEX(LIST!$F$2:$F$131,MATCH(B6,LIST!$B$2:$B$131,0)),"")</f>
        <v>ml</v>
      </c>
      <c r="E6" s="18" t="n">
        <f aca="false">IFERROR(INDEX(LIST!$G$2:$G$131,MATCH(B6,LIST!$B$2:$B$131,0)),0)</f>
        <v>0.001232</v>
      </c>
      <c r="F6" s="20" t="n">
        <f aca="false">C6*E6</f>
        <v>0.03696</v>
      </c>
    </row>
    <row r="7" customFormat="false" ht="15" hidden="false" customHeight="false" outlineLevel="0" collapsed="false">
      <c r="A7" s="2" t="n">
        <v>3</v>
      </c>
      <c r="B7" s="2" t="s">
        <v>105</v>
      </c>
      <c r="C7" s="17" t="n">
        <v>2.5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0.0026454</v>
      </c>
      <c r="F7" s="20" t="n">
        <f aca="false">C7*E7</f>
        <v>0.0066135</v>
      </c>
    </row>
    <row r="8" customFormat="false" ht="15" hidden="false" customHeight="false" outlineLevel="0" collapsed="false">
      <c r="A8" s="2" t="n">
        <v>4</v>
      </c>
      <c r="B8" s="2" t="s">
        <v>107</v>
      </c>
      <c r="C8" s="17" t="n">
        <v>2.5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0.0154</v>
      </c>
      <c r="F8" s="20" t="n">
        <f aca="false">C8*E8</f>
        <v>0.0385</v>
      </c>
    </row>
    <row r="9" customFormat="false" ht="15" hidden="false" customHeight="false" outlineLevel="0" collapsed="false">
      <c r="A9" s="2" t="n">
        <v>5</v>
      </c>
      <c r="B9" s="2" t="s">
        <v>92</v>
      </c>
      <c r="C9" s="17" t="n">
        <v>240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0.0003</v>
      </c>
      <c r="F9" s="20" t="n">
        <f aca="false">C9*E9</f>
        <v>0.072</v>
      </c>
    </row>
    <row r="10" customFormat="false" ht="15" hidden="false" customHeight="false" outlineLevel="0" collapsed="false">
      <c r="A10" s="2"/>
      <c r="B10" s="4" t="s">
        <v>191</v>
      </c>
      <c r="C10" s="2"/>
      <c r="D10" s="2"/>
      <c r="E10" s="2"/>
      <c r="F10" s="21" t="n">
        <f aca="false">SUM(F5:F9)</f>
        <v>0.1940735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4" t="s">
        <v>192</v>
      </c>
      <c r="C12" s="44" t="s">
        <v>4</v>
      </c>
      <c r="D12" s="22" t="s">
        <v>5</v>
      </c>
      <c r="E12" s="23" t="s">
        <v>6</v>
      </c>
      <c r="F12" s="24" t="s">
        <v>7</v>
      </c>
    </row>
    <row r="13" customFormat="false" ht="15" hidden="false" customHeight="false" outlineLevel="0" collapsed="false">
      <c r="A13" s="2"/>
      <c r="B13" s="25" t="s">
        <v>212</v>
      </c>
      <c r="C13" s="45" t="n">
        <v>5</v>
      </c>
      <c r="D13" s="26" t="n">
        <v>3</v>
      </c>
      <c r="E13" s="27" t="n">
        <v>2</v>
      </c>
      <c r="F13" s="28" t="n">
        <v>1</v>
      </c>
    </row>
    <row r="14" customFormat="false" ht="15" hidden="false" customHeight="false" outlineLevel="0" collapsed="false">
      <c r="A14" s="2"/>
      <c r="B14" s="25" t="s">
        <v>194</v>
      </c>
      <c r="C14" s="46" t="n">
        <f aca="false">IF(C13=0,0,$F$10/C13)</f>
        <v>0.0388147</v>
      </c>
      <c r="D14" s="29" t="n">
        <f aca="false">IF(D13=0,0,$F$10/D13)</f>
        <v>0.0646911666666667</v>
      </c>
      <c r="E14" s="30" t="n">
        <f aca="false">IF(E13=0,0,$F$10/E13)</f>
        <v>0.09703675</v>
      </c>
      <c r="F14" s="31" t="n">
        <f aca="false">IF(F13=0,0,$F$10/F13)</f>
        <v>0.1940735</v>
      </c>
    </row>
    <row r="15" customFormat="false" ht="15" hidden="false" customHeight="false" outlineLevel="0" collapsed="false">
      <c r="A15" s="2"/>
      <c r="B15" s="25" t="s">
        <v>195</v>
      </c>
      <c r="C15" s="47" t="s">
        <v>175</v>
      </c>
      <c r="D15" s="32" t="s">
        <v>176</v>
      </c>
      <c r="E15" s="33" t="s">
        <v>177</v>
      </c>
      <c r="F15" s="34" t="s">
        <v>178</v>
      </c>
    </row>
    <row r="16" customFormat="false" ht="15" hidden="false" customHeight="false" outlineLevel="0" collapsed="false">
      <c r="A16" s="2"/>
      <c r="B16" s="25" t="s">
        <v>196</v>
      </c>
      <c r="C16" s="46" t="n">
        <f aca="false">IFERROR(INDEX(LIST!$G$2:$G$131,MATCH(C15,LIST!$B$2:$B$131,0)),0)</f>
        <v>0.025</v>
      </c>
      <c r="D16" s="29" t="n">
        <f aca="false">IFERROR(INDEX(LIST!$G$2:$G$131,MATCH(D15,LIST!$B$2:$B$131,0)),0)</f>
        <v>0.021</v>
      </c>
      <c r="E16" s="30" t="n">
        <f aca="false">IFERROR(INDEX(LIST!$G$2:$G$131,MATCH(E15,LIST!$B$2:$B$131,0)),0)</f>
        <v>0.0315</v>
      </c>
      <c r="F16" s="31" t="n">
        <f aca="false">IFERROR(INDEX(LIST!$G$2:$G$131,MATCH(F15,LIST!$B$2:$B$131,0)),0)</f>
        <v>0.116666666666667</v>
      </c>
    </row>
    <row r="17" customFormat="false" ht="15" hidden="false" customHeight="false" outlineLevel="0" collapsed="false">
      <c r="A17" s="2"/>
      <c r="B17" s="25" t="s">
        <v>197</v>
      </c>
      <c r="C17" s="45" t="n">
        <v>1</v>
      </c>
      <c r="D17" s="26" t="n">
        <v>2</v>
      </c>
      <c r="E17" s="27" t="n">
        <v>3</v>
      </c>
      <c r="F17" s="28" t="n">
        <v>4</v>
      </c>
    </row>
    <row r="18" customFormat="false" ht="15" hidden="false" customHeight="false" outlineLevel="0" collapsed="false">
      <c r="A18" s="2"/>
      <c r="B18" s="25" t="s">
        <v>198</v>
      </c>
      <c r="C18" s="46" t="n">
        <f aca="false">C17*IFERROR(INDEX(LIST!$G$2:$G$131,MATCH("SPOON",LIST!$B$2:$B$131,0)),0)</f>
        <v>0.0064</v>
      </c>
      <c r="D18" s="29" t="n">
        <f aca="false">D17*IFERROR(INDEX(LIST!$G$2:$G$131,MATCH("SPOON",LIST!$B$2:$B$131,0)),0)</f>
        <v>0.0128</v>
      </c>
      <c r="E18" s="30" t="n">
        <f aca="false">E17*IFERROR(INDEX(LIST!$G$2:$G$131,MATCH("SPOON",LIST!$B$2:$B$131,0)),0)</f>
        <v>0.0192</v>
      </c>
      <c r="F18" s="31" t="n">
        <f aca="false">F17*IFERROR(INDEX(LIST!$G$2:$G$131,MATCH("SPOON",LIST!$B$2:$B$131,0)),0)</f>
        <v>0.0256</v>
      </c>
    </row>
    <row r="19" customFormat="false" ht="15" hidden="false" customHeight="false" outlineLevel="0" collapsed="false">
      <c r="A19" s="2"/>
      <c r="B19" s="25" t="s">
        <v>199</v>
      </c>
      <c r="C19" s="45" t="n">
        <v>0</v>
      </c>
      <c r="D19" s="26" t="n">
        <v>0</v>
      </c>
      <c r="E19" s="27" t="n">
        <v>0</v>
      </c>
      <c r="F19" s="28" t="n">
        <v>0</v>
      </c>
    </row>
    <row r="20" customFormat="false" ht="15" hidden="false" customHeight="false" outlineLevel="0" collapsed="false">
      <c r="A20" s="2"/>
      <c r="B20" s="25" t="s">
        <v>200</v>
      </c>
      <c r="C20" s="46" t="n">
        <f aca="false">C19*IFERROR(INDEX(LIST!$G$2:$G$131,MATCH("Bread",LIST!$B$2:$B$131,0)),0)</f>
        <v>0</v>
      </c>
      <c r="D20" s="29" t="n">
        <f aca="false">D19*IFERROR(INDEX(LIST!$G$2:$G$131,MATCH("Bread",LIST!$B$2:$B$131,0)),0)</f>
        <v>0</v>
      </c>
      <c r="E20" s="30" t="n">
        <f aca="false">E19*IFERROR(INDEX(LIST!$G$2:$G$131,MATCH("Bread",LIST!$B$2:$B$131,0)),0)</f>
        <v>0</v>
      </c>
      <c r="F20" s="31" t="n">
        <f aca="false">F19*IFERROR(INDEX(LIST!$G$2:$G$131,MATCH("Bread",LIST!$B$2:$B$131,0)),0)</f>
        <v>0</v>
      </c>
    </row>
    <row r="21" customFormat="false" ht="15" hidden="false" customHeight="false" outlineLevel="0" collapsed="false">
      <c r="A21" s="2"/>
      <c r="B21" s="25" t="s">
        <v>201</v>
      </c>
      <c r="C21" s="47" t="s">
        <v>186</v>
      </c>
      <c r="D21" s="32" t="s">
        <v>183</v>
      </c>
      <c r="E21" s="33" t="s">
        <v>184</v>
      </c>
      <c r="F21" s="34" t="s">
        <v>185</v>
      </c>
    </row>
    <row r="22" customFormat="false" ht="15" hidden="false" customHeight="false" outlineLevel="0" collapsed="false">
      <c r="A22" s="2"/>
      <c r="B22" s="25" t="s">
        <v>202</v>
      </c>
      <c r="C22" s="46" t="n">
        <f aca="false">IFERROR(INDEX(LIST!$G$2:$G$131,MATCH(C21,LIST!$B$2:$B$131,0)),0)</f>
        <v>0.01</v>
      </c>
      <c r="D22" s="29" t="n">
        <f aca="false">IFERROR(INDEX(LIST!$G$2:$G$131,MATCH(D21,LIST!$B$2:$B$131,0)),0)</f>
        <v>0.02</v>
      </c>
      <c r="E22" s="30" t="n">
        <f aca="false">IFERROR(INDEX(LIST!$G$2:$G$131,MATCH(E21,LIST!$B$2:$B$131,0)),0)</f>
        <v>0.03</v>
      </c>
      <c r="F22" s="31" t="n">
        <f aca="false">IFERROR(INDEX(LIST!$G$2:$G$131,MATCH(F21,LIST!$B$2:$B$131,0)),0)</f>
        <v>0.04</v>
      </c>
    </row>
    <row r="23" customFormat="false" ht="15" hidden="false" customHeight="false" outlineLevel="0" collapsed="false">
      <c r="A23" s="2"/>
      <c r="B23" s="25" t="s">
        <v>203</v>
      </c>
      <c r="C23" s="48" t="n">
        <v>0</v>
      </c>
      <c r="D23" s="35" t="n">
        <v>0</v>
      </c>
      <c r="E23" s="36" t="n">
        <v>0</v>
      </c>
      <c r="F23" s="37" t="n">
        <v>0</v>
      </c>
    </row>
    <row r="24" customFormat="false" ht="15" hidden="false" customHeight="false" outlineLevel="0" collapsed="false">
      <c r="A24" s="2"/>
      <c r="B24" s="25" t="s">
        <v>204</v>
      </c>
      <c r="C24" s="46" t="n">
        <f aca="false">C16+C18+C20+C22+C23</f>
        <v>0.0414</v>
      </c>
      <c r="D24" s="29" t="n">
        <f aca="false">D16+D18+D20+D22+D23</f>
        <v>0.0538</v>
      </c>
      <c r="E24" s="30" t="n">
        <f aca="false">E16+E18+E20+E22+E23</f>
        <v>0.0807</v>
      </c>
      <c r="F24" s="31" t="n">
        <f aca="false">F16+F18+F20+F22+F23</f>
        <v>0.182266666666667</v>
      </c>
    </row>
    <row r="25" customFormat="false" ht="15" hidden="false" customHeight="false" outlineLevel="0" collapsed="false">
      <c r="A25" s="2"/>
      <c r="B25" s="4" t="s">
        <v>205</v>
      </c>
      <c r="C25" s="49" t="n">
        <f aca="false">C14+C24</f>
        <v>0.0802147</v>
      </c>
      <c r="D25" s="38" t="n">
        <f aca="false">D14+D24</f>
        <v>0.118491166666667</v>
      </c>
      <c r="E25" s="39" t="n">
        <f aca="false">E14+E24</f>
        <v>0.17773675</v>
      </c>
      <c r="F25" s="40" t="n">
        <f aca="false">F14+F24</f>
        <v>0.376340166666667</v>
      </c>
    </row>
    <row r="26" customFormat="false" ht="15" hidden="false" customHeight="false" outlineLevel="0" collapsed="false">
      <c r="A26" s="2"/>
      <c r="B26" s="25" t="s">
        <v>9</v>
      </c>
      <c r="C26" s="48" t="n">
        <v>0.4</v>
      </c>
      <c r="D26" s="35" t="n">
        <v>0.7</v>
      </c>
      <c r="E26" s="36" t="n">
        <v>1</v>
      </c>
      <c r="F26" s="37" t="n">
        <v>1.9</v>
      </c>
    </row>
    <row r="27" customFormat="false" ht="15" hidden="false" customHeight="false" outlineLevel="0" collapsed="false">
      <c r="A27" s="2"/>
      <c r="B27" s="4" t="s">
        <v>206</v>
      </c>
      <c r="C27" s="50" t="n">
        <f aca="false">IF(C26=0,"",C25/C26)</f>
        <v>0.20053675</v>
      </c>
      <c r="D27" s="41" t="n">
        <f aca="false">IF(D26=0,"",D25/D26)</f>
        <v>0.169273095238095</v>
      </c>
      <c r="E27" s="42" t="n">
        <f aca="false">IF(E26=0,"",E25/E26)</f>
        <v>0.17773675</v>
      </c>
      <c r="F27" s="43" t="n">
        <f aca="false">IF(F26=0,"",F25/F26)</f>
        <v>0.198073771929825</v>
      </c>
    </row>
    <row r="28" customFormat="false" ht="15" hidden="false" customHeight="false" outlineLevel="0" collapsed="false">
      <c r="A28" s="2"/>
      <c r="B28" s="25" t="s">
        <v>11</v>
      </c>
      <c r="C28" s="48" t="n">
        <v>0.4</v>
      </c>
      <c r="D28" s="35" t="n">
        <v>1</v>
      </c>
      <c r="E28" s="36" t="n">
        <v>1.5</v>
      </c>
      <c r="F28" s="37" t="n">
        <v>2.5</v>
      </c>
    </row>
    <row r="29" customFormat="false" ht="15" hidden="false" customHeight="false" outlineLevel="0" collapsed="false">
      <c r="A29" s="2"/>
      <c r="B29" s="4" t="s">
        <v>207</v>
      </c>
      <c r="C29" s="50" t="n">
        <f aca="false">IF(N(C28)=0,"",C25/C28)</f>
        <v>0.20053675</v>
      </c>
      <c r="D29" s="41" t="n">
        <f aca="false">IF(N(D28)=0,"",D25/D28)</f>
        <v>0.118491166666667</v>
      </c>
      <c r="E29" s="42" t="n">
        <f aca="false">IF(N(E28)=0,"",E25/E28)</f>
        <v>0.118491166666667</v>
      </c>
      <c r="F29" s="43" t="n">
        <f aca="false">IF(N(F28)=0,"",F25/F28)</f>
        <v>0.150536066666667</v>
      </c>
    </row>
    <row r="30" customFormat="false" ht="15" hidden="false" customHeight="false" outlineLevel="0" collapsed="false">
      <c r="A30" s="2"/>
      <c r="B30" s="25" t="s">
        <v>208</v>
      </c>
      <c r="C30" s="46" t="n">
        <f aca="false">C26-C25</f>
        <v>0.3197853</v>
      </c>
      <c r="D30" s="29" t="n">
        <f aca="false">D26-D25</f>
        <v>0.581508833333333</v>
      </c>
      <c r="E30" s="30" t="n">
        <f aca="false">E26-E25</f>
        <v>0.82226325</v>
      </c>
      <c r="F30" s="31" t="n">
        <f aca="false">F26-F25</f>
        <v>1.52365983333333</v>
      </c>
    </row>
    <row r="31" customFormat="false" ht="15" hidden="false" customHeight="false" outlineLevel="0" collapsed="false">
      <c r="A31" s="2"/>
      <c r="B31" s="25" t="s">
        <v>209</v>
      </c>
      <c r="C31" s="46" t="n">
        <f aca="false">IF(N(C28)=0,"",C28-C25)</f>
        <v>0.3197853</v>
      </c>
      <c r="D31" s="29" t="n">
        <f aca="false">IF(N(D28)=0,"",D28-D25)</f>
        <v>0.881508833333333</v>
      </c>
      <c r="E31" s="30" t="n">
        <f aca="false">IF(N(E28)=0,"",E28-E25)</f>
        <v>1.32226325</v>
      </c>
      <c r="F31" s="31" t="n">
        <f aca="false">IF(N(F28)=0,"",F28-F25)</f>
        <v>2.12365983333333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44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152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0.00145</v>
      </c>
      <c r="F5" s="20" t="n">
        <f aca="false">C5*E5</f>
        <v>1.45</v>
      </c>
    </row>
    <row r="6" customFormat="false" ht="15" hidden="false" customHeight="false" outlineLevel="0" collapsed="false">
      <c r="A6" s="2" t="n">
        <v>2</v>
      </c>
      <c r="B6" s="2" t="s">
        <v>116</v>
      </c>
      <c r="C6" s="17" t="n">
        <v>60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0.00157</v>
      </c>
      <c r="F6" s="20" t="n">
        <f aca="false">C6*E6</f>
        <v>0.0942</v>
      </c>
    </row>
    <row r="7" customFormat="false" ht="15" hidden="false" customHeight="false" outlineLevel="0" collapsed="false">
      <c r="A7" s="2" t="n">
        <v>3</v>
      </c>
      <c r="B7" s="2" t="s">
        <v>150</v>
      </c>
      <c r="C7" s="17" t="n">
        <v>400</v>
      </c>
      <c r="D7" s="2" t="str">
        <f aca="false">IFERROR(INDEX(LIST!$F$2:$F$131,MATCH(B7,LIST!$B$2:$B$131,0)),"")</f>
        <v>ml</v>
      </c>
      <c r="E7" s="18" t="n">
        <f aca="false">IFERROR(INDEX(LIST!$G$2:$G$131,MATCH(B7,LIST!$B$2:$B$131,0)),0)</f>
        <v>0.000594</v>
      </c>
      <c r="F7" s="20" t="n">
        <f aca="false">C7*E7</f>
        <v>0.2376</v>
      </c>
    </row>
    <row r="8" customFormat="false" ht="15" hidden="false" customHeight="false" outlineLevel="0" collapsed="false">
      <c r="A8" s="2" t="n">
        <v>4</v>
      </c>
      <c r="B8" s="2" t="s">
        <v>153</v>
      </c>
      <c r="C8" s="17" t="n">
        <v>300</v>
      </c>
      <c r="D8" s="2" t="str">
        <f aca="false">IFERROR(INDEX(LIST!$F$2:$F$131,MATCH(B8,LIST!$B$2:$B$131,0)),"")</f>
        <v>g</v>
      </c>
      <c r="E8" s="18" t="n">
        <f aca="false">IFERROR(INDEX(LIST!$G$2:$G$131,MATCH(B8,LIST!$B$2:$B$131,0)),0)</f>
        <v>0.00416666666666667</v>
      </c>
      <c r="F8" s="20" t="n">
        <f aca="false">C8*E8</f>
        <v>1.25</v>
      </c>
    </row>
    <row r="9" customFormat="false" ht="15" hidden="false" customHeight="false" outlineLevel="0" collapsed="false">
      <c r="A9" s="2" t="n">
        <v>5</v>
      </c>
      <c r="B9" s="2" t="s">
        <v>155</v>
      </c>
      <c r="C9" s="17" t="n">
        <v>100</v>
      </c>
      <c r="D9" s="2" t="str">
        <f aca="false">IFERROR(INDEX(LIST!$F$2:$F$131,MATCH(B9,LIST!$B$2:$B$131,0)),"")</f>
        <v>ml</v>
      </c>
      <c r="E9" s="18" t="n">
        <f aca="false">IFERROR(INDEX(LIST!$G$2:$G$131,MATCH(B9,LIST!$B$2:$B$131,0)),0)</f>
        <v>0.000444444444444444</v>
      </c>
      <c r="F9" s="20" t="n">
        <f aca="false">C9*E9</f>
        <v>0.0444444444444444</v>
      </c>
    </row>
    <row r="10" customFormat="false" ht="15" hidden="false" customHeight="false" outlineLevel="0" collapsed="false">
      <c r="A10" s="2"/>
      <c r="B10" s="4" t="s">
        <v>191</v>
      </c>
      <c r="C10" s="2"/>
      <c r="D10" s="2"/>
      <c r="E10" s="2"/>
      <c r="F10" s="21" t="n">
        <f aca="false">SUM(F5:F9)</f>
        <v>3.07624444444444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4" t="s">
        <v>192</v>
      </c>
      <c r="C12" s="23" t="s">
        <v>6</v>
      </c>
      <c r="D12" s="2"/>
      <c r="E12" s="2"/>
      <c r="F12" s="2"/>
    </row>
    <row r="13" customFormat="false" ht="15" hidden="false" customHeight="false" outlineLevel="0" collapsed="false">
      <c r="A13" s="2"/>
      <c r="B13" s="25" t="s">
        <v>212</v>
      </c>
      <c r="C13" s="27" t="n">
        <v>7</v>
      </c>
      <c r="D13" s="2"/>
      <c r="E13" s="2"/>
      <c r="F13" s="2"/>
    </row>
    <row r="14" customFormat="false" ht="15" hidden="false" customHeight="false" outlineLevel="0" collapsed="false">
      <c r="A14" s="2"/>
      <c r="B14" s="25" t="s">
        <v>194</v>
      </c>
      <c r="C14" s="30" t="n">
        <f aca="false">IF(C13=0,0,$F$10/C13)</f>
        <v>0.439463492063492</v>
      </c>
      <c r="D14" s="2"/>
      <c r="E14" s="2"/>
      <c r="F14" s="2"/>
    </row>
    <row r="15" customFormat="false" ht="15" hidden="false" customHeight="false" outlineLevel="0" collapsed="false">
      <c r="A15" s="2"/>
      <c r="B15" s="25" t="s">
        <v>195</v>
      </c>
      <c r="C15" s="33" t="s">
        <v>179</v>
      </c>
      <c r="D15" s="2"/>
      <c r="E15" s="2"/>
      <c r="F15" s="2"/>
    </row>
    <row r="16" customFormat="false" ht="15" hidden="false" customHeight="false" outlineLevel="0" collapsed="false">
      <c r="A16" s="2"/>
      <c r="B16" s="25" t="s">
        <v>196</v>
      </c>
      <c r="C16" s="30" t="n">
        <f aca="false">IFERROR(INDEX(LIST!$G$2:$G$131,MATCH(C15,LIST!$B$2:$B$131,0)),0)</f>
        <v>0.0024</v>
      </c>
      <c r="D16" s="2"/>
      <c r="E16" s="2"/>
      <c r="F16" s="2"/>
    </row>
    <row r="17" customFormat="false" ht="15" hidden="false" customHeight="false" outlineLevel="0" collapsed="false">
      <c r="A17" s="2"/>
      <c r="B17" s="25" t="s">
        <v>197</v>
      </c>
      <c r="C17" s="27" t="n">
        <v>0</v>
      </c>
      <c r="D17" s="2"/>
      <c r="E17" s="2"/>
      <c r="F17" s="2"/>
    </row>
    <row r="18" customFormat="false" ht="15" hidden="false" customHeight="false" outlineLevel="0" collapsed="false">
      <c r="A18" s="2"/>
      <c r="B18" s="25" t="s">
        <v>198</v>
      </c>
      <c r="C18" s="30" t="n">
        <f aca="false">C17*IFERROR(INDEX(LIST!$G$2:$G$131,MATCH("SPOON",LIST!$B$2:$B$131,0)),0)</f>
        <v>0</v>
      </c>
      <c r="D18" s="2"/>
      <c r="E18" s="2"/>
      <c r="F18" s="2"/>
    </row>
    <row r="19" customFormat="false" ht="15" hidden="false" customHeight="false" outlineLevel="0" collapsed="false">
      <c r="A19" s="2"/>
      <c r="B19" s="25" t="s">
        <v>199</v>
      </c>
      <c r="C19" s="27" t="n">
        <v>0</v>
      </c>
      <c r="D19" s="2"/>
      <c r="E19" s="2"/>
      <c r="F19" s="2"/>
    </row>
    <row r="20" customFormat="false" ht="15" hidden="false" customHeight="false" outlineLevel="0" collapsed="false">
      <c r="A20" s="2"/>
      <c r="B20" s="25" t="s">
        <v>200</v>
      </c>
      <c r="C20" s="30" t="n">
        <f aca="false">C19*IFERROR(INDEX(LIST!$G$2:$G$131,MATCH("Bread",LIST!$B$2:$B$131,0)),0)</f>
        <v>0</v>
      </c>
      <c r="D20" s="2"/>
      <c r="E20" s="2"/>
      <c r="F20" s="2"/>
    </row>
    <row r="21" customFormat="false" ht="15" hidden="false" customHeight="false" outlineLevel="0" collapsed="false">
      <c r="A21" s="2"/>
      <c r="B21" s="25" t="s">
        <v>201</v>
      </c>
      <c r="C21" s="33" t="s">
        <v>184</v>
      </c>
      <c r="D21" s="2"/>
      <c r="E21" s="2"/>
      <c r="F21" s="2"/>
    </row>
    <row r="22" customFormat="false" ht="15" hidden="false" customHeight="false" outlineLevel="0" collapsed="false">
      <c r="A22" s="2"/>
      <c r="B22" s="25" t="s">
        <v>202</v>
      </c>
      <c r="C22" s="30" t="n">
        <f aca="false">IFERROR(INDEX(LIST!$G$2:$G$131,MATCH(C21,LIST!$B$2:$B$131,0)),0)</f>
        <v>0.03</v>
      </c>
      <c r="D22" s="2"/>
      <c r="E22" s="2"/>
      <c r="F22" s="2"/>
    </row>
    <row r="23" customFormat="false" ht="15" hidden="false" customHeight="false" outlineLevel="0" collapsed="false">
      <c r="A23" s="2"/>
      <c r="B23" s="25" t="s">
        <v>203</v>
      </c>
      <c r="C23" s="36" t="n">
        <v>0</v>
      </c>
      <c r="D23" s="2"/>
      <c r="E23" s="2"/>
      <c r="F23" s="2"/>
    </row>
    <row r="24" customFormat="false" ht="15" hidden="false" customHeight="false" outlineLevel="0" collapsed="false">
      <c r="A24" s="2"/>
      <c r="B24" s="25" t="s">
        <v>204</v>
      </c>
      <c r="C24" s="30" t="n">
        <f aca="false">C16+C18+C20+C22+C23</f>
        <v>0.0324</v>
      </c>
      <c r="D24" s="2"/>
      <c r="E24" s="2"/>
      <c r="F24" s="2"/>
    </row>
    <row r="25" customFormat="false" ht="15" hidden="false" customHeight="false" outlineLevel="0" collapsed="false">
      <c r="A25" s="2"/>
      <c r="B25" s="4" t="s">
        <v>205</v>
      </c>
      <c r="C25" s="39" t="n">
        <f aca="false">C14+C24</f>
        <v>0.471863492063492</v>
      </c>
      <c r="D25" s="2"/>
      <c r="E25" s="2"/>
      <c r="F25" s="2"/>
    </row>
    <row r="26" customFormat="false" ht="15" hidden="false" customHeight="false" outlineLevel="0" collapsed="false">
      <c r="A26" s="2"/>
      <c r="B26" s="25" t="s">
        <v>9</v>
      </c>
      <c r="C26" s="36" t="n">
        <v>1.4</v>
      </c>
      <c r="D26" s="2"/>
      <c r="E26" s="2"/>
      <c r="F26" s="2"/>
    </row>
    <row r="27" customFormat="false" ht="15" hidden="false" customHeight="false" outlineLevel="0" collapsed="false">
      <c r="A27" s="2"/>
      <c r="B27" s="4" t="s">
        <v>206</v>
      </c>
      <c r="C27" s="42" t="n">
        <f aca="false">IF(C26=0,"",C25/C26)</f>
        <v>0.337045351473923</v>
      </c>
      <c r="D27" s="2"/>
      <c r="E27" s="2"/>
      <c r="F27" s="2"/>
    </row>
    <row r="28" customFormat="false" ht="15" hidden="false" customHeight="false" outlineLevel="0" collapsed="false">
      <c r="A28" s="2"/>
      <c r="B28" s="25" t="s">
        <v>11</v>
      </c>
      <c r="C28" s="36" t="n">
        <v>1.8</v>
      </c>
      <c r="D28" s="2"/>
      <c r="E28" s="2"/>
      <c r="F28" s="2"/>
    </row>
    <row r="29" customFormat="false" ht="15" hidden="false" customHeight="false" outlineLevel="0" collapsed="false">
      <c r="A29" s="2"/>
      <c r="B29" s="4" t="s">
        <v>207</v>
      </c>
      <c r="C29" s="42" t="n">
        <f aca="false">IF(N(C28)=0,"",C25/C28)</f>
        <v>0.262146384479718</v>
      </c>
      <c r="D29" s="2"/>
      <c r="E29" s="2"/>
      <c r="F29" s="2"/>
    </row>
    <row r="30" customFormat="false" ht="15" hidden="false" customHeight="false" outlineLevel="0" collapsed="false">
      <c r="A30" s="2"/>
      <c r="B30" s="25" t="s">
        <v>208</v>
      </c>
      <c r="C30" s="30" t="n">
        <f aca="false">C26-C25</f>
        <v>0.928136507936508</v>
      </c>
      <c r="D30" s="2"/>
      <c r="E30" s="2"/>
      <c r="F30" s="2"/>
    </row>
    <row r="31" customFormat="false" ht="15" hidden="false" customHeight="false" outlineLevel="0" collapsed="false">
      <c r="A31" s="2"/>
      <c r="B31" s="25" t="s">
        <v>209</v>
      </c>
      <c r="C31" s="30" t="n">
        <f aca="false">IF(N(C28)=0,"",C28-C25)</f>
        <v>1.32813650793651</v>
      </c>
      <c r="D31" s="2"/>
      <c r="E31" s="2"/>
      <c r="F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45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45</v>
      </c>
      <c r="C5" s="17" t="n">
        <v>500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0.00108</v>
      </c>
      <c r="F5" s="20" t="n">
        <f aca="false">C5*E5</f>
        <v>0.54</v>
      </c>
    </row>
    <row r="6" customFormat="false" ht="15" hidden="false" customHeight="false" outlineLevel="0" collapsed="false">
      <c r="A6" s="2" t="n">
        <v>2</v>
      </c>
      <c r="B6" s="2" t="s">
        <v>92</v>
      </c>
      <c r="C6" s="17" t="n">
        <v>240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0.0003</v>
      </c>
      <c r="F6" s="20" t="n">
        <f aca="false">C6*E6</f>
        <v>0.072</v>
      </c>
    </row>
    <row r="7" customFormat="false" ht="15" hidden="false" customHeight="false" outlineLevel="0" collapsed="false">
      <c r="A7" s="2" t="n">
        <v>3</v>
      </c>
      <c r="B7" s="2" t="s">
        <v>155</v>
      </c>
      <c r="C7" s="17" t="n">
        <v>30</v>
      </c>
      <c r="D7" s="2" t="str">
        <f aca="false">IFERROR(INDEX(LIST!$F$2:$F$131,MATCH(B7,LIST!$B$2:$B$131,0)),"")</f>
        <v>ml</v>
      </c>
      <c r="E7" s="18" t="n">
        <f aca="false">IFERROR(INDEX(LIST!$G$2:$G$131,MATCH(B7,LIST!$B$2:$B$131,0)),0)</f>
        <v>0.000444444444444444</v>
      </c>
      <c r="F7" s="20" t="n">
        <f aca="false">C7*E7</f>
        <v>0.0133333333333333</v>
      </c>
    </row>
    <row r="8" customFormat="false" ht="15" hidden="false" customHeight="false" outlineLevel="0" collapsed="false">
      <c r="A8" s="2" t="n">
        <v>4</v>
      </c>
      <c r="B8" s="2" t="s">
        <v>132</v>
      </c>
      <c r="C8" s="17" t="n">
        <v>10</v>
      </c>
      <c r="D8" s="2" t="str">
        <f aca="false">IFERROR(INDEX(LIST!$F$2:$F$131,MATCH(B8,LIST!$B$2:$B$131,0)),"")</f>
        <v>pc</v>
      </c>
      <c r="E8" s="18" t="n">
        <f aca="false">IFERROR(INDEX(LIST!$G$2:$G$131,MATCH(B8,LIST!$B$2:$B$131,0)),0)</f>
        <v>0.035</v>
      </c>
      <c r="F8" s="20" t="n">
        <f aca="false">C8*E8</f>
        <v>0.35</v>
      </c>
    </row>
    <row r="9" customFormat="false" ht="15" hidden="false" customHeight="false" outlineLevel="0" collapsed="false">
      <c r="A9" s="2" t="n">
        <v>5</v>
      </c>
      <c r="B9" s="2" t="s">
        <v>107</v>
      </c>
      <c r="C9" s="17" t="n">
        <v>30</v>
      </c>
      <c r="D9" s="2" t="str">
        <f aca="false">IFERROR(INDEX(LIST!$F$2:$F$131,MATCH(B9,LIST!$B$2:$B$131,0)),"")</f>
        <v>g</v>
      </c>
      <c r="E9" s="18" t="n">
        <f aca="false">IFERROR(INDEX(LIST!$G$2:$G$131,MATCH(B9,LIST!$B$2:$B$131,0)),0)</f>
        <v>0.0154</v>
      </c>
      <c r="F9" s="20" t="n">
        <f aca="false">C9*E9</f>
        <v>0.462</v>
      </c>
    </row>
    <row r="10" customFormat="false" ht="15" hidden="false" customHeight="false" outlineLevel="0" collapsed="false">
      <c r="A10" s="2"/>
      <c r="B10" s="4" t="s">
        <v>191</v>
      </c>
      <c r="C10" s="2"/>
      <c r="D10" s="2"/>
      <c r="E10" s="2"/>
      <c r="F10" s="21" t="n">
        <f aca="false">SUM(F5:F9)</f>
        <v>1.43733333333333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/>
      <c r="B12" s="4" t="s">
        <v>192</v>
      </c>
      <c r="C12" s="22" t="s">
        <v>5</v>
      </c>
      <c r="D12" s="23" t="s">
        <v>6</v>
      </c>
      <c r="E12" s="24" t="s">
        <v>7</v>
      </c>
      <c r="F12" s="2"/>
    </row>
    <row r="13" customFormat="false" ht="15" hidden="false" customHeight="false" outlineLevel="0" collapsed="false">
      <c r="A13" s="2"/>
      <c r="B13" s="25" t="s">
        <v>212</v>
      </c>
      <c r="C13" s="26" t="n">
        <v>6</v>
      </c>
      <c r="D13" s="27" t="n">
        <v>4</v>
      </c>
      <c r="E13" s="28" t="n">
        <v>2</v>
      </c>
      <c r="F13" s="2"/>
    </row>
    <row r="14" customFormat="false" ht="15" hidden="false" customHeight="false" outlineLevel="0" collapsed="false">
      <c r="A14" s="2"/>
      <c r="B14" s="25" t="s">
        <v>194</v>
      </c>
      <c r="C14" s="29" t="n">
        <f aca="false">IF(C13=0,0,$F$10/C13)</f>
        <v>0.239555555555556</v>
      </c>
      <c r="D14" s="30" t="n">
        <f aca="false">IF(D13=0,0,$F$10/D13)</f>
        <v>0.359333333333333</v>
      </c>
      <c r="E14" s="31" t="n">
        <f aca="false">IF(E13=0,0,$F$10/E13)</f>
        <v>0.718666666666667</v>
      </c>
      <c r="F14" s="2"/>
    </row>
    <row r="15" customFormat="false" ht="15" hidden="false" customHeight="false" outlineLevel="0" collapsed="false">
      <c r="A15" s="2"/>
      <c r="B15" s="25" t="s">
        <v>195</v>
      </c>
      <c r="C15" s="32" t="s">
        <v>176</v>
      </c>
      <c r="D15" s="33" t="s">
        <v>177</v>
      </c>
      <c r="E15" s="34" t="s">
        <v>178</v>
      </c>
      <c r="F15" s="2"/>
    </row>
    <row r="16" customFormat="false" ht="15" hidden="false" customHeight="false" outlineLevel="0" collapsed="false">
      <c r="A16" s="2"/>
      <c r="B16" s="25" t="s">
        <v>196</v>
      </c>
      <c r="C16" s="29" t="n">
        <f aca="false">IFERROR(INDEX(LIST!$G$2:$G$131,MATCH(C15,LIST!$B$2:$B$131,0)),0)</f>
        <v>0.021</v>
      </c>
      <c r="D16" s="30" t="n">
        <f aca="false">IFERROR(INDEX(LIST!$G$2:$G$131,MATCH(D15,LIST!$B$2:$B$131,0)),0)</f>
        <v>0.0315</v>
      </c>
      <c r="E16" s="31" t="n">
        <f aca="false">IFERROR(INDEX(LIST!$G$2:$G$131,MATCH(E15,LIST!$B$2:$B$131,0)),0)</f>
        <v>0.116666666666667</v>
      </c>
      <c r="F16" s="2"/>
    </row>
    <row r="17" customFormat="false" ht="15" hidden="false" customHeight="false" outlineLevel="0" collapsed="false">
      <c r="A17" s="2"/>
      <c r="B17" s="25" t="s">
        <v>197</v>
      </c>
      <c r="C17" s="26" t="n">
        <v>1</v>
      </c>
      <c r="D17" s="27" t="n">
        <v>2</v>
      </c>
      <c r="E17" s="28" t="n">
        <v>3</v>
      </c>
      <c r="F17" s="2"/>
    </row>
    <row r="18" customFormat="false" ht="15" hidden="false" customHeight="false" outlineLevel="0" collapsed="false">
      <c r="A18" s="2"/>
      <c r="B18" s="25" t="s">
        <v>198</v>
      </c>
      <c r="C18" s="29" t="n">
        <f aca="false">C17*IFERROR(INDEX(LIST!$G$2:$G$131,MATCH("SPOON",LIST!$B$2:$B$131,0)),0)</f>
        <v>0.0064</v>
      </c>
      <c r="D18" s="30" t="n">
        <f aca="false">D17*IFERROR(INDEX(LIST!$G$2:$G$131,MATCH("SPOON",LIST!$B$2:$B$131,0)),0)</f>
        <v>0.0128</v>
      </c>
      <c r="E18" s="31" t="n">
        <f aca="false">E17*IFERROR(INDEX(LIST!$G$2:$G$131,MATCH("SPOON",LIST!$B$2:$B$131,0)),0)</f>
        <v>0.0192</v>
      </c>
      <c r="F18" s="2"/>
    </row>
    <row r="19" customFormat="false" ht="15" hidden="false" customHeight="false" outlineLevel="0" collapsed="false">
      <c r="A19" s="2"/>
      <c r="B19" s="25" t="s">
        <v>199</v>
      </c>
      <c r="C19" s="26" t="n">
        <v>0</v>
      </c>
      <c r="D19" s="27" t="n">
        <v>0</v>
      </c>
      <c r="E19" s="28" t="n">
        <v>0</v>
      </c>
      <c r="F19" s="2"/>
    </row>
    <row r="20" customFormat="false" ht="15" hidden="false" customHeight="false" outlineLevel="0" collapsed="false">
      <c r="A20" s="2"/>
      <c r="B20" s="25" t="s">
        <v>200</v>
      </c>
      <c r="C20" s="29" t="n">
        <f aca="false">C19*IFERROR(INDEX(LIST!$G$2:$G$131,MATCH("Bread",LIST!$B$2:$B$131,0)),0)</f>
        <v>0</v>
      </c>
      <c r="D20" s="30" t="n">
        <f aca="false">D19*IFERROR(INDEX(LIST!$G$2:$G$131,MATCH("Bread",LIST!$B$2:$B$131,0)),0)</f>
        <v>0</v>
      </c>
      <c r="E20" s="31" t="n">
        <f aca="false">E19*IFERROR(INDEX(LIST!$G$2:$G$131,MATCH("Bread",LIST!$B$2:$B$131,0)),0)</f>
        <v>0</v>
      </c>
      <c r="F20" s="2"/>
    </row>
    <row r="21" customFormat="false" ht="15" hidden="false" customHeight="false" outlineLevel="0" collapsed="false">
      <c r="A21" s="2"/>
      <c r="B21" s="25" t="s">
        <v>201</v>
      </c>
      <c r="C21" s="32" t="s">
        <v>183</v>
      </c>
      <c r="D21" s="33" t="s">
        <v>184</v>
      </c>
      <c r="E21" s="34" t="s">
        <v>185</v>
      </c>
      <c r="F21" s="2"/>
    </row>
    <row r="22" customFormat="false" ht="15" hidden="false" customHeight="false" outlineLevel="0" collapsed="false">
      <c r="A22" s="2"/>
      <c r="B22" s="25" t="s">
        <v>202</v>
      </c>
      <c r="C22" s="29" t="n">
        <f aca="false">IFERROR(INDEX(LIST!$G$2:$G$131,MATCH(C21,LIST!$B$2:$B$131,0)),0)</f>
        <v>0.02</v>
      </c>
      <c r="D22" s="30" t="n">
        <f aca="false">IFERROR(INDEX(LIST!$G$2:$G$131,MATCH(D21,LIST!$B$2:$B$131,0)),0)</f>
        <v>0.03</v>
      </c>
      <c r="E22" s="31" t="n">
        <f aca="false">IFERROR(INDEX(LIST!$G$2:$G$131,MATCH(E21,LIST!$B$2:$B$131,0)),0)</f>
        <v>0.04</v>
      </c>
      <c r="F22" s="2"/>
    </row>
    <row r="23" customFormat="false" ht="15" hidden="false" customHeight="false" outlineLevel="0" collapsed="false">
      <c r="A23" s="2"/>
      <c r="B23" s="25" t="s">
        <v>203</v>
      </c>
      <c r="C23" s="35" t="n">
        <v>0</v>
      </c>
      <c r="D23" s="36" t="n">
        <v>0</v>
      </c>
      <c r="E23" s="37" t="n">
        <v>0</v>
      </c>
      <c r="F23" s="2"/>
    </row>
    <row r="24" customFormat="false" ht="15" hidden="false" customHeight="false" outlineLevel="0" collapsed="false">
      <c r="A24" s="2"/>
      <c r="B24" s="25" t="s">
        <v>204</v>
      </c>
      <c r="C24" s="29" t="n">
        <f aca="false">C16+C18+C20+C22+C23</f>
        <v>0.0474</v>
      </c>
      <c r="D24" s="30" t="n">
        <f aca="false">D16+D18+D20+D22+D23</f>
        <v>0.0743</v>
      </c>
      <c r="E24" s="31" t="n">
        <f aca="false">E16+E18+E20+E22+E23</f>
        <v>0.175866666666667</v>
      </c>
      <c r="F24" s="2"/>
    </row>
    <row r="25" customFormat="false" ht="15" hidden="false" customHeight="false" outlineLevel="0" collapsed="false">
      <c r="A25" s="2"/>
      <c r="B25" s="4" t="s">
        <v>205</v>
      </c>
      <c r="C25" s="38" t="n">
        <f aca="false">C14+C24</f>
        <v>0.286955555555556</v>
      </c>
      <c r="D25" s="39" t="n">
        <f aca="false">D14+D24</f>
        <v>0.433633333333333</v>
      </c>
      <c r="E25" s="40" t="n">
        <f aca="false">E14+E24</f>
        <v>0.894533333333333</v>
      </c>
      <c r="F25" s="2"/>
    </row>
    <row r="26" customFormat="false" ht="15" hidden="false" customHeight="false" outlineLevel="0" collapsed="false">
      <c r="A26" s="2"/>
      <c r="B26" s="25" t="s">
        <v>9</v>
      </c>
      <c r="C26" s="35" t="n">
        <v>1</v>
      </c>
      <c r="D26" s="36" t="n">
        <v>1.6</v>
      </c>
      <c r="E26" s="37" t="n">
        <v>3</v>
      </c>
      <c r="F26" s="2"/>
    </row>
    <row r="27" customFormat="false" ht="15" hidden="false" customHeight="false" outlineLevel="0" collapsed="false">
      <c r="A27" s="2"/>
      <c r="B27" s="4" t="s">
        <v>206</v>
      </c>
      <c r="C27" s="41" t="n">
        <f aca="false">IF(C26=0,"",C25/C26)</f>
        <v>0.286955555555556</v>
      </c>
      <c r="D27" s="42" t="n">
        <f aca="false">IF(D26=0,"",D25/D26)</f>
        <v>0.271020833333333</v>
      </c>
      <c r="E27" s="43" t="n">
        <f aca="false">IF(E26=0,"",E25/E26)</f>
        <v>0.298177777777778</v>
      </c>
      <c r="F27" s="2"/>
    </row>
    <row r="28" customFormat="false" ht="15" hidden="false" customHeight="false" outlineLevel="0" collapsed="false">
      <c r="A28" s="2"/>
      <c r="B28" s="25" t="s">
        <v>11</v>
      </c>
      <c r="C28" s="35"/>
      <c r="D28" s="36" t="n">
        <v>2</v>
      </c>
      <c r="E28" s="37"/>
      <c r="F28" s="2"/>
    </row>
    <row r="29" customFormat="false" ht="15" hidden="false" customHeight="false" outlineLevel="0" collapsed="false">
      <c r="A29" s="2"/>
      <c r="B29" s="4" t="s">
        <v>207</v>
      </c>
      <c r="C29" s="41" t="str">
        <f aca="false">IF(N(C28)=0,"",C25/C28)</f>
        <v/>
      </c>
      <c r="D29" s="42" t="n">
        <f aca="false">IF(N(D28)=0,"",D25/D28)</f>
        <v>0.216816666666667</v>
      </c>
      <c r="E29" s="43" t="str">
        <f aca="false">IF(N(E28)=0,"",E25/E28)</f>
        <v/>
      </c>
      <c r="F29" s="2"/>
    </row>
    <row r="30" customFormat="false" ht="15" hidden="false" customHeight="false" outlineLevel="0" collapsed="false">
      <c r="A30" s="2"/>
      <c r="B30" s="25" t="s">
        <v>208</v>
      </c>
      <c r="C30" s="29" t="n">
        <f aca="false">C26-C25</f>
        <v>0.713044444444445</v>
      </c>
      <c r="D30" s="30" t="n">
        <f aca="false">D26-D25</f>
        <v>1.16636666666667</v>
      </c>
      <c r="E30" s="31" t="n">
        <f aca="false">E26-E25</f>
        <v>2.10546666666667</v>
      </c>
      <c r="F30" s="2"/>
    </row>
    <row r="31" customFormat="false" ht="15" hidden="false" customHeight="false" outlineLevel="0" collapsed="false">
      <c r="A31" s="2"/>
      <c r="B31" s="25" t="s">
        <v>209</v>
      </c>
      <c r="C31" s="29" t="str">
        <f aca="false">IF(N(C28)=0,"",C28-C25)</f>
        <v/>
      </c>
      <c r="D31" s="30" t="n">
        <f aca="false">IF(N(D28)=0,"",D28-D25)</f>
        <v>1.56636666666667</v>
      </c>
      <c r="E31" s="31" t="str">
        <f aca="false">IF(N(E28)=0,"",E28-E25)</f>
        <v/>
      </c>
      <c r="F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46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214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5" t="s">
        <v>189</v>
      </c>
      <c r="B4" s="15" t="s">
        <v>48</v>
      </c>
      <c r="C4" s="15" t="s">
        <v>190</v>
      </c>
      <c r="D4" s="15" t="s">
        <v>52</v>
      </c>
      <c r="E4" s="15" t="s">
        <v>53</v>
      </c>
      <c r="F4" s="15" t="s">
        <v>8</v>
      </c>
    </row>
    <row r="5" customFormat="false" ht="15" hidden="false" customHeight="false" outlineLevel="0" collapsed="false">
      <c r="A5" s="2" t="n">
        <v>1</v>
      </c>
      <c r="B5" s="2" t="s">
        <v>168</v>
      </c>
      <c r="C5" s="17" t="n">
        <v>1000</v>
      </c>
      <c r="D5" s="2" t="str">
        <f aca="false">IFERROR(INDEX(LIST!$F$2:$F$131,MATCH(B5,LIST!$B$2:$B$131,0)),"")</f>
        <v>g</v>
      </c>
      <c r="E5" s="18" t="n">
        <f aca="false">IFERROR(INDEX(LIST!$G$2:$G$131,MATCH(B5,LIST!$B$2:$B$131,0)),0)</f>
        <v>0.00073</v>
      </c>
      <c r="F5" s="20" t="n">
        <f aca="false">C5*E5</f>
        <v>0.73</v>
      </c>
    </row>
    <row r="6" customFormat="false" ht="15" hidden="false" customHeight="false" outlineLevel="0" collapsed="false">
      <c r="A6" s="2" t="n">
        <v>2</v>
      </c>
      <c r="B6" s="2" t="s">
        <v>135</v>
      </c>
      <c r="C6" s="17" t="n">
        <v>1000</v>
      </c>
      <c r="D6" s="2" t="str">
        <f aca="false">IFERROR(INDEX(LIST!$F$2:$F$131,MATCH(B6,LIST!$B$2:$B$131,0)),"")</f>
        <v>g</v>
      </c>
      <c r="E6" s="18" t="n">
        <f aca="false">IFERROR(INDEX(LIST!$G$2:$G$131,MATCH(B6,LIST!$B$2:$B$131,0)),0)</f>
        <v>0.0001</v>
      </c>
      <c r="F6" s="20" t="n">
        <f aca="false">C6*E6</f>
        <v>0.1</v>
      </c>
    </row>
    <row r="7" customFormat="false" ht="15" hidden="false" customHeight="false" outlineLevel="0" collapsed="false">
      <c r="A7" s="2" t="n">
        <v>3</v>
      </c>
      <c r="B7" s="2" t="s">
        <v>116</v>
      </c>
      <c r="C7" s="17" t="n">
        <v>45</v>
      </c>
      <c r="D7" s="2" t="str">
        <f aca="false">IFERROR(INDEX(LIST!$F$2:$F$131,MATCH(B7,LIST!$B$2:$B$131,0)),"")</f>
        <v>g</v>
      </c>
      <c r="E7" s="18" t="n">
        <f aca="false">IFERROR(INDEX(LIST!$G$2:$G$131,MATCH(B7,LIST!$B$2:$B$131,0)),0)</f>
        <v>0.00157</v>
      </c>
      <c r="F7" s="20" t="n">
        <f aca="false">C7*E7</f>
        <v>0.07065</v>
      </c>
    </row>
    <row r="8" customFormat="false" ht="15" hidden="false" customHeight="false" outlineLevel="0" collapsed="false">
      <c r="A8" s="2" t="n">
        <v>4</v>
      </c>
      <c r="B8" s="2" t="s">
        <v>150</v>
      </c>
      <c r="C8" s="17" t="n">
        <v>600</v>
      </c>
      <c r="D8" s="2" t="str">
        <f aca="false">IFERROR(INDEX(LIST!$F$2:$F$131,MATCH(B8,LIST!$B$2:$B$131,0)),"")</f>
        <v>ml</v>
      </c>
      <c r="E8" s="18" t="n">
        <f aca="false">IFERROR(INDEX(LIST!$G$2:$G$131,MATCH(B8,LIST!$B$2:$B$131,0)),0)</f>
        <v>0.000594</v>
      </c>
      <c r="F8" s="20" t="n">
        <f aca="false">C8*E8</f>
        <v>0.3564</v>
      </c>
    </row>
    <row r="9" customFormat="false" ht="15" hidden="false" customHeight="false" outlineLevel="0" collapsed="false">
      <c r="A9" s="2"/>
      <c r="B9" s="4" t="s">
        <v>191</v>
      </c>
      <c r="C9" s="2"/>
      <c r="D9" s="2"/>
      <c r="E9" s="2"/>
      <c r="F9" s="21" t="n">
        <f aca="false">SUM(F5:F8)</f>
        <v>1.25705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4" t="s">
        <v>192</v>
      </c>
      <c r="C11" s="44" t="s">
        <v>4</v>
      </c>
      <c r="D11" s="22" t="s">
        <v>5</v>
      </c>
      <c r="E11" s="23" t="s">
        <v>6</v>
      </c>
      <c r="F11" s="24" t="s">
        <v>7</v>
      </c>
    </row>
    <row r="12" customFormat="false" ht="15" hidden="false" customHeight="false" outlineLevel="0" collapsed="false">
      <c r="A12" s="2"/>
      <c r="B12" s="25" t="s">
        <v>212</v>
      </c>
      <c r="C12" s="45" t="n">
        <v>10</v>
      </c>
      <c r="D12" s="26" t="n">
        <v>7</v>
      </c>
      <c r="E12" s="27" t="n">
        <v>4</v>
      </c>
      <c r="F12" s="28" t="n">
        <v>2</v>
      </c>
    </row>
    <row r="13" customFormat="false" ht="15" hidden="false" customHeight="false" outlineLevel="0" collapsed="false">
      <c r="A13" s="2"/>
      <c r="B13" s="25" t="s">
        <v>194</v>
      </c>
      <c r="C13" s="46" t="n">
        <f aca="false">IF(C12=0,0,$F$9/C12)</f>
        <v>0.125705</v>
      </c>
      <c r="D13" s="29" t="n">
        <f aca="false">IF(D12=0,0,$F$9/D12)</f>
        <v>0.179578571428571</v>
      </c>
      <c r="E13" s="30" t="n">
        <f aca="false">IF(E12=0,0,$F$9/E12)</f>
        <v>0.3142625</v>
      </c>
      <c r="F13" s="31" t="n">
        <f aca="false">IF(F12=0,0,$F$9/F12)</f>
        <v>0.628525</v>
      </c>
    </row>
    <row r="14" customFormat="false" ht="15" hidden="false" customHeight="false" outlineLevel="0" collapsed="false">
      <c r="A14" s="2"/>
      <c r="B14" s="25" t="s">
        <v>195</v>
      </c>
      <c r="C14" s="47" t="s">
        <v>175</v>
      </c>
      <c r="D14" s="32" t="s">
        <v>176</v>
      </c>
      <c r="E14" s="33" t="s">
        <v>177</v>
      </c>
      <c r="F14" s="34" t="s">
        <v>178</v>
      </c>
    </row>
    <row r="15" customFormat="false" ht="15" hidden="false" customHeight="false" outlineLevel="0" collapsed="false">
      <c r="A15" s="2"/>
      <c r="B15" s="25" t="s">
        <v>196</v>
      </c>
      <c r="C15" s="46" t="n">
        <f aca="false">IFERROR(INDEX(LIST!$G$2:$G$131,MATCH(C14,LIST!$B$2:$B$131,0)),0)</f>
        <v>0.025</v>
      </c>
      <c r="D15" s="29" t="n">
        <f aca="false">IFERROR(INDEX(LIST!$G$2:$G$131,MATCH(D14,LIST!$B$2:$B$131,0)),0)</f>
        <v>0.021</v>
      </c>
      <c r="E15" s="30" t="n">
        <f aca="false">IFERROR(INDEX(LIST!$G$2:$G$131,MATCH(E14,LIST!$B$2:$B$131,0)),0)</f>
        <v>0.0315</v>
      </c>
      <c r="F15" s="31" t="n">
        <f aca="false">IFERROR(INDEX(LIST!$G$2:$G$131,MATCH(F14,LIST!$B$2:$B$131,0)),0)</f>
        <v>0.116666666666667</v>
      </c>
    </row>
    <row r="16" customFormat="false" ht="15" hidden="false" customHeight="false" outlineLevel="0" collapsed="false">
      <c r="A16" s="2"/>
      <c r="B16" s="25" t="s">
        <v>197</v>
      </c>
      <c r="C16" s="45" t="n">
        <v>1</v>
      </c>
      <c r="D16" s="26" t="n">
        <v>2</v>
      </c>
      <c r="E16" s="27" t="n">
        <v>3</v>
      </c>
      <c r="F16" s="28" t="n">
        <v>4</v>
      </c>
    </row>
    <row r="17" customFormat="false" ht="15" hidden="false" customHeight="false" outlineLevel="0" collapsed="false">
      <c r="A17" s="2"/>
      <c r="B17" s="25" t="s">
        <v>198</v>
      </c>
      <c r="C17" s="46" t="n">
        <f aca="false">C16*IFERROR(INDEX(LIST!$G$2:$G$131,MATCH("SPOON",LIST!$B$2:$B$131,0)),0)</f>
        <v>0.0064</v>
      </c>
      <c r="D17" s="29" t="n">
        <f aca="false">D16*IFERROR(INDEX(LIST!$G$2:$G$131,MATCH("SPOON",LIST!$B$2:$B$131,0)),0)</f>
        <v>0.0128</v>
      </c>
      <c r="E17" s="30" t="n">
        <f aca="false">E16*IFERROR(INDEX(LIST!$G$2:$G$131,MATCH("SPOON",LIST!$B$2:$B$131,0)),0)</f>
        <v>0.0192</v>
      </c>
      <c r="F17" s="31" t="n">
        <f aca="false">F16*IFERROR(INDEX(LIST!$G$2:$G$131,MATCH("SPOON",LIST!$B$2:$B$131,0)),0)</f>
        <v>0.0256</v>
      </c>
    </row>
    <row r="18" customFormat="false" ht="15" hidden="false" customHeight="false" outlineLevel="0" collapsed="false">
      <c r="A18" s="2"/>
      <c r="B18" s="25" t="s">
        <v>199</v>
      </c>
      <c r="C18" s="45" t="n">
        <v>0</v>
      </c>
      <c r="D18" s="26" t="n">
        <v>0</v>
      </c>
      <c r="E18" s="27" t="n">
        <v>0</v>
      </c>
      <c r="F18" s="28" t="n">
        <v>0</v>
      </c>
    </row>
    <row r="19" customFormat="false" ht="15" hidden="false" customHeight="false" outlineLevel="0" collapsed="false">
      <c r="A19" s="2"/>
      <c r="B19" s="25" t="s">
        <v>200</v>
      </c>
      <c r="C19" s="46" t="n">
        <f aca="false">C18*IFERROR(INDEX(LIST!$G$2:$G$131,MATCH("Bread",LIST!$B$2:$B$131,0)),0)</f>
        <v>0</v>
      </c>
      <c r="D19" s="29" t="n">
        <f aca="false">D18*IFERROR(INDEX(LIST!$G$2:$G$131,MATCH("Bread",LIST!$B$2:$B$131,0)),0)</f>
        <v>0</v>
      </c>
      <c r="E19" s="30" t="n">
        <f aca="false">E18*IFERROR(INDEX(LIST!$G$2:$G$131,MATCH("Bread",LIST!$B$2:$B$131,0)),0)</f>
        <v>0</v>
      </c>
      <c r="F19" s="31" t="n">
        <f aca="false">F18*IFERROR(INDEX(LIST!$G$2:$G$131,MATCH("Bread",LIST!$B$2:$B$131,0)),0)</f>
        <v>0</v>
      </c>
    </row>
    <row r="20" customFormat="false" ht="15" hidden="false" customHeight="false" outlineLevel="0" collapsed="false">
      <c r="A20" s="2"/>
      <c r="B20" s="25" t="s">
        <v>201</v>
      </c>
      <c r="C20" s="47" t="s">
        <v>186</v>
      </c>
      <c r="D20" s="32" t="s">
        <v>183</v>
      </c>
      <c r="E20" s="33" t="s">
        <v>184</v>
      </c>
      <c r="F20" s="34" t="s">
        <v>185</v>
      </c>
    </row>
    <row r="21" customFormat="false" ht="15" hidden="false" customHeight="false" outlineLevel="0" collapsed="false">
      <c r="A21" s="2"/>
      <c r="B21" s="25" t="s">
        <v>202</v>
      </c>
      <c r="C21" s="46" t="n">
        <f aca="false">IFERROR(INDEX(LIST!$G$2:$G$131,MATCH(C20,LIST!$B$2:$B$131,0)),0)</f>
        <v>0.01</v>
      </c>
      <c r="D21" s="29" t="n">
        <f aca="false">IFERROR(INDEX(LIST!$G$2:$G$131,MATCH(D20,LIST!$B$2:$B$131,0)),0)</f>
        <v>0.02</v>
      </c>
      <c r="E21" s="30" t="n">
        <f aca="false">IFERROR(INDEX(LIST!$G$2:$G$131,MATCH(E20,LIST!$B$2:$B$131,0)),0)</f>
        <v>0.03</v>
      </c>
      <c r="F21" s="31" t="n">
        <f aca="false">IFERROR(INDEX(LIST!$G$2:$G$131,MATCH(F20,LIST!$B$2:$B$131,0)),0)</f>
        <v>0.04</v>
      </c>
    </row>
    <row r="22" customFormat="false" ht="15" hidden="false" customHeight="false" outlineLevel="0" collapsed="false">
      <c r="A22" s="2"/>
      <c r="B22" s="25" t="s">
        <v>203</v>
      </c>
      <c r="C22" s="48" t="n">
        <v>0</v>
      </c>
      <c r="D22" s="35" t="n">
        <v>0</v>
      </c>
      <c r="E22" s="36" t="n">
        <v>0</v>
      </c>
      <c r="F22" s="37" t="n">
        <v>0</v>
      </c>
    </row>
    <row r="23" customFormat="false" ht="15" hidden="false" customHeight="false" outlineLevel="0" collapsed="false">
      <c r="A23" s="2"/>
      <c r="B23" s="25" t="s">
        <v>204</v>
      </c>
      <c r="C23" s="46" t="n">
        <f aca="false">C15+C17+C19+C21+C22</f>
        <v>0.0414</v>
      </c>
      <c r="D23" s="29" t="n">
        <f aca="false">D15+D17+D19+D21+D22</f>
        <v>0.0538</v>
      </c>
      <c r="E23" s="30" t="n">
        <f aca="false">E15+E17+E19+E21+E22</f>
        <v>0.0807</v>
      </c>
      <c r="F23" s="31" t="n">
        <f aca="false">F15+F17+F19+F21+F22</f>
        <v>0.182266666666667</v>
      </c>
    </row>
    <row r="24" customFormat="false" ht="15" hidden="false" customHeight="false" outlineLevel="0" collapsed="false">
      <c r="A24" s="2"/>
      <c r="B24" s="4" t="s">
        <v>205</v>
      </c>
      <c r="C24" s="49" t="n">
        <f aca="false">C13+C23</f>
        <v>0.167105</v>
      </c>
      <c r="D24" s="38" t="n">
        <f aca="false">D13+D23</f>
        <v>0.233378571428571</v>
      </c>
      <c r="E24" s="39" t="n">
        <f aca="false">E13+E23</f>
        <v>0.3949625</v>
      </c>
      <c r="F24" s="40" t="n">
        <f aca="false">F13+F23</f>
        <v>0.810791666666667</v>
      </c>
    </row>
    <row r="25" customFormat="false" ht="15" hidden="false" customHeight="false" outlineLevel="0" collapsed="false">
      <c r="A25" s="2"/>
      <c r="B25" s="25" t="s">
        <v>9</v>
      </c>
      <c r="C25" s="48" t="n">
        <v>0.6</v>
      </c>
      <c r="D25" s="35" t="n">
        <v>0.9</v>
      </c>
      <c r="E25" s="36" t="n">
        <v>1.6</v>
      </c>
      <c r="F25" s="37" t="n">
        <v>3</v>
      </c>
    </row>
    <row r="26" customFormat="false" ht="15" hidden="false" customHeight="false" outlineLevel="0" collapsed="false">
      <c r="A26" s="2"/>
      <c r="B26" s="4" t="s">
        <v>206</v>
      </c>
      <c r="C26" s="50" t="n">
        <f aca="false">IF(C25=0,"",C24/C25)</f>
        <v>0.278508333333333</v>
      </c>
      <c r="D26" s="41" t="n">
        <f aca="false">IF(D25=0,"",D24/D25)</f>
        <v>0.259309523809524</v>
      </c>
      <c r="E26" s="42" t="n">
        <f aca="false">IF(E25=0,"",E24/E25)</f>
        <v>0.2468515625</v>
      </c>
      <c r="F26" s="43" t="n">
        <f aca="false">IF(F25=0,"",F24/F25)</f>
        <v>0.270263888888889</v>
      </c>
    </row>
    <row r="27" customFormat="false" ht="15" hidden="false" customHeight="false" outlineLevel="0" collapsed="false">
      <c r="A27" s="2"/>
      <c r="B27" s="25" t="s">
        <v>11</v>
      </c>
      <c r="C27" s="48" t="n">
        <v>0.4</v>
      </c>
      <c r="D27" s="35" t="n">
        <v>1</v>
      </c>
      <c r="E27" s="36" t="n">
        <v>1.5</v>
      </c>
      <c r="F27" s="37" t="n">
        <v>2.5</v>
      </c>
    </row>
    <row r="28" customFormat="false" ht="15" hidden="false" customHeight="false" outlineLevel="0" collapsed="false">
      <c r="A28" s="2"/>
      <c r="B28" s="4" t="s">
        <v>207</v>
      </c>
      <c r="C28" s="50" t="n">
        <f aca="false">IF(N(C27)=0,"",C24/C27)</f>
        <v>0.4177625</v>
      </c>
      <c r="D28" s="41" t="n">
        <f aca="false">IF(N(D27)=0,"",D24/D27)</f>
        <v>0.233378571428571</v>
      </c>
      <c r="E28" s="42" t="n">
        <f aca="false">IF(N(E27)=0,"",E24/E27)</f>
        <v>0.263308333333333</v>
      </c>
      <c r="F28" s="43" t="n">
        <f aca="false">IF(N(F27)=0,"",F24/F27)</f>
        <v>0.324316666666667</v>
      </c>
    </row>
    <row r="29" customFormat="false" ht="15" hidden="false" customHeight="false" outlineLevel="0" collapsed="false">
      <c r="A29" s="2"/>
      <c r="B29" s="25" t="s">
        <v>208</v>
      </c>
      <c r="C29" s="46" t="n">
        <f aca="false">C25-C24</f>
        <v>0.432895</v>
      </c>
      <c r="D29" s="29" t="n">
        <f aca="false">D25-D24</f>
        <v>0.666621428571429</v>
      </c>
      <c r="E29" s="30" t="n">
        <f aca="false">E25-E24</f>
        <v>1.2050375</v>
      </c>
      <c r="F29" s="31" t="n">
        <f aca="false">F25-F24</f>
        <v>2.18920833333333</v>
      </c>
    </row>
    <row r="30" customFormat="false" ht="15" hidden="false" customHeight="false" outlineLevel="0" collapsed="false">
      <c r="A30" s="2"/>
      <c r="B30" s="25" t="s">
        <v>209</v>
      </c>
      <c r="C30" s="46" t="n">
        <f aca="false">IF(N(C27)=0,"",C27-C24)</f>
        <v>0.232895</v>
      </c>
      <c r="D30" s="29" t="n">
        <f aca="false">IF(N(D27)=0,"",D27-D24)</f>
        <v>0.766621428571429</v>
      </c>
      <c r="E30" s="30" t="n">
        <f aca="false">IF(N(E27)=0,"",E27-E24)</f>
        <v>1.1050375</v>
      </c>
      <c r="F30" s="31" t="n">
        <f aca="false">IF(N(F27)=0,"",F27-F24)</f>
        <v>1.68920833333333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2026-09-27T08:49:24Z</dcterms:created>
  <dc:creator>openpyxl</dc:creator>
  <dc:description/>
  <dc:language>en-US</dc:language>
  <cp:lastModifiedBy/>
  <dcterms:modified xsi:type="dcterms:W3CDTF">2026-09-27T08:49:24Z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